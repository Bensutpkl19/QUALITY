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1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Staj DOSYALARI/IE 397- ARGESİM/Proje argesim/okul rapor/"/>
    </mc:Choice>
  </mc:AlternateContent>
  <xr:revisionPtr revIDLastSave="22" documentId="8_{13C04914-604D-49AC-8F9F-B89814841841}" xr6:coauthVersionLast="47" xr6:coauthVersionMax="47" xr10:uidLastSave="{57F942C6-BFAF-4834-AEED-96BA10A13474}"/>
  <bookViews>
    <workbookView minimized="1" xWindow="2040" yWindow="2380" windowWidth="14400" windowHeight="7270" firstSheet="5" activeTab="5" xr2:uid="{00000000-000D-0000-FFFF-FFFF00000000}"/>
  </bookViews>
  <sheets>
    <sheet name="Mekanik Montaj" sheetId="1" r:id="rId1"/>
    <sheet name="Mekanik Dyson Hatası" sheetId="2" r:id="rId2"/>
    <sheet name="Kozmetik Hata" sheetId="3" r:id="rId3"/>
    <sheet name="Dizgi Lehim Hatası" sheetId="4" r:id="rId4"/>
    <sheet name="Yazılım SW Hatası" sheetId="5" r:id="rId5"/>
    <sheet name="Elektronik- Fonksiyon Hatası " sheetId="6" r:id="rId6"/>
    <sheet name="Markalama etiiket hatası" sheetId="7" r:id="rId7"/>
    <sheet name="ADC Hatası" sheetId="8" r:id="rId8"/>
    <sheet name="Kalıp Baskı" sheetId="9" r:id="rId9"/>
    <sheet name="Sayfa1" sheetId="10" r:id="rId10"/>
    <sheet name="CUSUM-EWMA Analizi" sheetId="11" r:id="rId11"/>
  </sheets>
  <definedNames>
    <definedName name="_xlnm._FilterDatabase" localSheetId="0" hidden="1">'Mekanik Montaj'!$A$1:$A$512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1" l="1"/>
  <c r="E13" i="11"/>
  <c r="F14" i="11"/>
  <c r="E12" i="11"/>
  <c r="L14" i="11"/>
  <c r="M14" i="11" s="1"/>
  <c r="K11" i="11"/>
  <c r="Z156" i="11"/>
  <c r="AA156" i="11" s="1"/>
  <c r="X156" i="11"/>
  <c r="W156" i="11"/>
  <c r="Q156" i="11"/>
  <c r="R156" i="11" s="1"/>
  <c r="P156" i="11"/>
  <c r="O156" i="11"/>
  <c r="L156" i="11"/>
  <c r="M156" i="11" s="1"/>
  <c r="J156" i="11"/>
  <c r="I156" i="11"/>
  <c r="C156" i="11"/>
  <c r="D156" i="11" s="1"/>
  <c r="B156" i="11"/>
  <c r="A156" i="11"/>
  <c r="Z155" i="11"/>
  <c r="AA155" i="11" s="1"/>
  <c r="X155" i="11"/>
  <c r="W155" i="11"/>
  <c r="Q155" i="11"/>
  <c r="R155" i="11" s="1"/>
  <c r="P155" i="11"/>
  <c r="O155" i="11"/>
  <c r="L155" i="11"/>
  <c r="M155" i="11" s="1"/>
  <c r="J155" i="11"/>
  <c r="I155" i="11"/>
  <c r="C155" i="11"/>
  <c r="D155" i="11" s="1"/>
  <c r="B155" i="11"/>
  <c r="A155" i="11"/>
  <c r="Z154" i="11"/>
  <c r="AA154" i="11" s="1"/>
  <c r="X154" i="11"/>
  <c r="W154" i="11"/>
  <c r="Q154" i="11"/>
  <c r="R154" i="11" s="1"/>
  <c r="P154" i="11"/>
  <c r="O154" i="11"/>
  <c r="L154" i="11"/>
  <c r="M154" i="11" s="1"/>
  <c r="J154" i="11"/>
  <c r="I154" i="11"/>
  <c r="C154" i="11"/>
  <c r="D154" i="11" s="1"/>
  <c r="B154" i="11"/>
  <c r="A154" i="11"/>
  <c r="Z153" i="11"/>
  <c r="AA153" i="11" s="1"/>
  <c r="X153" i="11"/>
  <c r="W153" i="11"/>
  <c r="Q153" i="11"/>
  <c r="R153" i="11" s="1"/>
  <c r="P153" i="11"/>
  <c r="O153" i="11"/>
  <c r="L153" i="11"/>
  <c r="M153" i="11" s="1"/>
  <c r="J153" i="11"/>
  <c r="I153" i="11"/>
  <c r="C153" i="11"/>
  <c r="D153" i="11" s="1"/>
  <c r="B153" i="11"/>
  <c r="A153" i="11"/>
  <c r="Z152" i="11"/>
  <c r="AA152" i="11" s="1"/>
  <c r="X152" i="11"/>
  <c r="W152" i="11"/>
  <c r="Q152" i="11"/>
  <c r="R152" i="11" s="1"/>
  <c r="P152" i="11"/>
  <c r="O152" i="11"/>
  <c r="L152" i="11"/>
  <c r="M152" i="11" s="1"/>
  <c r="J152" i="11"/>
  <c r="I152" i="11"/>
  <c r="C152" i="11"/>
  <c r="D152" i="11" s="1"/>
  <c r="B152" i="11"/>
  <c r="A152" i="11"/>
  <c r="Z151" i="11"/>
  <c r="AA151" i="11" s="1"/>
  <c r="X151" i="11"/>
  <c r="W151" i="11"/>
  <c r="Q151" i="11"/>
  <c r="R151" i="11" s="1"/>
  <c r="P151" i="11"/>
  <c r="O151" i="11"/>
  <c r="L151" i="11"/>
  <c r="M151" i="11" s="1"/>
  <c r="J151" i="11"/>
  <c r="I151" i="11"/>
  <c r="C151" i="11"/>
  <c r="D151" i="11" s="1"/>
  <c r="B151" i="11"/>
  <c r="A151" i="11"/>
  <c r="Z150" i="11"/>
  <c r="AA150" i="11" s="1"/>
  <c r="X150" i="11"/>
  <c r="W150" i="11"/>
  <c r="S150" i="11"/>
  <c r="Q150" i="11"/>
  <c r="R150" i="11" s="1"/>
  <c r="T150" i="11" s="1"/>
  <c r="P150" i="11"/>
  <c r="O150" i="11"/>
  <c r="L150" i="11"/>
  <c r="M150" i="11" s="1"/>
  <c r="J150" i="11"/>
  <c r="I150" i="11"/>
  <c r="C150" i="11"/>
  <c r="D150" i="11" s="1"/>
  <c r="B150" i="11"/>
  <c r="A150" i="11"/>
  <c r="Z149" i="11"/>
  <c r="AA149" i="11" s="1"/>
  <c r="X149" i="11"/>
  <c r="W149" i="11"/>
  <c r="Q149" i="11"/>
  <c r="R149" i="11" s="1"/>
  <c r="P149" i="11"/>
  <c r="S149" i="11" s="1"/>
  <c r="O149" i="11"/>
  <c r="L149" i="11"/>
  <c r="M149" i="11" s="1"/>
  <c r="J149" i="11"/>
  <c r="I149" i="11"/>
  <c r="C149" i="11"/>
  <c r="D149" i="11" s="1"/>
  <c r="B149" i="11"/>
  <c r="A149" i="11"/>
  <c r="Z148" i="11"/>
  <c r="AA148" i="11" s="1"/>
  <c r="X148" i="11"/>
  <c r="W148" i="11"/>
  <c r="Q148" i="11"/>
  <c r="R148" i="11" s="1"/>
  <c r="P148" i="11"/>
  <c r="S148" i="11" s="1"/>
  <c r="O148" i="11"/>
  <c r="L148" i="11"/>
  <c r="M148" i="11" s="1"/>
  <c r="J148" i="11"/>
  <c r="I148" i="11"/>
  <c r="C148" i="11"/>
  <c r="D148" i="11" s="1"/>
  <c r="B148" i="11"/>
  <c r="A148" i="11"/>
  <c r="Z147" i="11"/>
  <c r="AA147" i="11" s="1"/>
  <c r="X147" i="11"/>
  <c r="W147" i="11"/>
  <c r="Q147" i="11"/>
  <c r="R147" i="11" s="1"/>
  <c r="P147" i="11"/>
  <c r="S147" i="11" s="1"/>
  <c r="O147" i="11"/>
  <c r="L147" i="11"/>
  <c r="M147" i="11" s="1"/>
  <c r="J147" i="11"/>
  <c r="I147" i="11"/>
  <c r="C147" i="11"/>
  <c r="D147" i="11" s="1"/>
  <c r="B147" i="11"/>
  <c r="A147" i="11"/>
  <c r="Z146" i="11"/>
  <c r="AA146" i="11" s="1"/>
  <c r="X146" i="11"/>
  <c r="W146" i="11"/>
  <c r="Q146" i="11"/>
  <c r="R146" i="11" s="1"/>
  <c r="P146" i="11"/>
  <c r="S146" i="11" s="1"/>
  <c r="O146" i="11"/>
  <c r="L146" i="11"/>
  <c r="M146" i="11" s="1"/>
  <c r="J146" i="11"/>
  <c r="I146" i="11"/>
  <c r="C146" i="11"/>
  <c r="D146" i="11" s="1"/>
  <c r="B146" i="11"/>
  <c r="A146" i="11"/>
  <c r="Z145" i="11"/>
  <c r="AA145" i="11" s="1"/>
  <c r="X145" i="11"/>
  <c r="W145" i="11"/>
  <c r="Q145" i="11"/>
  <c r="R145" i="11" s="1"/>
  <c r="P145" i="11"/>
  <c r="S145" i="11" s="1"/>
  <c r="O145" i="11"/>
  <c r="L145" i="11"/>
  <c r="M145" i="11" s="1"/>
  <c r="J145" i="11"/>
  <c r="I145" i="11"/>
  <c r="C145" i="11"/>
  <c r="D145" i="11" s="1"/>
  <c r="B145" i="11"/>
  <c r="A145" i="11"/>
  <c r="Z144" i="11"/>
  <c r="AA144" i="11" s="1"/>
  <c r="X144" i="11"/>
  <c r="W144" i="11"/>
  <c r="Q144" i="11"/>
  <c r="R144" i="11" s="1"/>
  <c r="P144" i="11"/>
  <c r="S144" i="11" s="1"/>
  <c r="O144" i="11"/>
  <c r="L144" i="11"/>
  <c r="M144" i="11" s="1"/>
  <c r="J144" i="11"/>
  <c r="I144" i="11"/>
  <c r="C144" i="11"/>
  <c r="D144" i="11" s="1"/>
  <c r="B144" i="11"/>
  <c r="A144" i="11"/>
  <c r="Z143" i="11"/>
  <c r="AA143" i="11" s="1"/>
  <c r="X143" i="11"/>
  <c r="W143" i="11"/>
  <c r="Q143" i="11"/>
  <c r="R143" i="11" s="1"/>
  <c r="P143" i="11"/>
  <c r="S143" i="11" s="1"/>
  <c r="O143" i="11"/>
  <c r="L143" i="11"/>
  <c r="M143" i="11" s="1"/>
  <c r="J143" i="11"/>
  <c r="I143" i="11"/>
  <c r="C143" i="11"/>
  <c r="D143" i="11" s="1"/>
  <c r="B143" i="11"/>
  <c r="A143" i="11"/>
  <c r="Z142" i="11"/>
  <c r="AA142" i="11" s="1"/>
  <c r="X142" i="11"/>
  <c r="W142" i="11"/>
  <c r="Q142" i="11"/>
  <c r="R142" i="11" s="1"/>
  <c r="P142" i="11"/>
  <c r="S142" i="11" s="1"/>
  <c r="O142" i="11"/>
  <c r="L142" i="11"/>
  <c r="M142" i="11" s="1"/>
  <c r="J142" i="11"/>
  <c r="I142" i="11"/>
  <c r="C142" i="11"/>
  <c r="D142" i="11" s="1"/>
  <c r="B142" i="11"/>
  <c r="A142" i="11"/>
  <c r="Z141" i="11"/>
  <c r="AA141" i="11" s="1"/>
  <c r="X141" i="11"/>
  <c r="W141" i="11"/>
  <c r="Q141" i="11"/>
  <c r="R141" i="11" s="1"/>
  <c r="P141" i="11"/>
  <c r="S141" i="11" s="1"/>
  <c r="O141" i="11"/>
  <c r="L141" i="11"/>
  <c r="M141" i="11" s="1"/>
  <c r="J141" i="11"/>
  <c r="I141" i="11"/>
  <c r="C141" i="11"/>
  <c r="D141" i="11" s="1"/>
  <c r="B141" i="11"/>
  <c r="A141" i="11"/>
  <c r="Z140" i="11"/>
  <c r="AA140" i="11" s="1"/>
  <c r="X140" i="11"/>
  <c r="W140" i="11"/>
  <c r="Q140" i="11"/>
  <c r="R140" i="11" s="1"/>
  <c r="P140" i="11"/>
  <c r="S140" i="11" s="1"/>
  <c r="O140" i="11"/>
  <c r="L140" i="11"/>
  <c r="M140" i="11" s="1"/>
  <c r="J140" i="11"/>
  <c r="I140" i="11"/>
  <c r="C140" i="11"/>
  <c r="D140" i="11" s="1"/>
  <c r="B140" i="11"/>
  <c r="A140" i="11"/>
  <c r="Z139" i="11"/>
  <c r="AA139" i="11" s="1"/>
  <c r="X139" i="11"/>
  <c r="W139" i="11"/>
  <c r="Q139" i="11"/>
  <c r="R139" i="11" s="1"/>
  <c r="P139" i="11"/>
  <c r="S139" i="11" s="1"/>
  <c r="O139" i="11"/>
  <c r="L139" i="11"/>
  <c r="M139" i="11" s="1"/>
  <c r="J139" i="11"/>
  <c r="I139" i="11"/>
  <c r="C139" i="11"/>
  <c r="D139" i="11" s="1"/>
  <c r="B139" i="11"/>
  <c r="A139" i="11"/>
  <c r="Z138" i="11"/>
  <c r="AA138" i="11" s="1"/>
  <c r="X138" i="11"/>
  <c r="W138" i="11"/>
  <c r="Q138" i="11"/>
  <c r="R138" i="11" s="1"/>
  <c r="P138" i="11"/>
  <c r="S138" i="11" s="1"/>
  <c r="O138" i="11"/>
  <c r="L138" i="11"/>
  <c r="M138" i="11" s="1"/>
  <c r="J138" i="11"/>
  <c r="I138" i="11"/>
  <c r="D138" i="11"/>
  <c r="C138" i="11"/>
  <c r="B138" i="11"/>
  <c r="A138" i="11"/>
  <c r="Z137" i="11"/>
  <c r="AA137" i="11" s="1"/>
  <c r="X137" i="11"/>
  <c r="W137" i="11"/>
  <c r="Q137" i="11"/>
  <c r="R137" i="11" s="1"/>
  <c r="P137" i="11"/>
  <c r="S137" i="11" s="1"/>
  <c r="O137" i="11"/>
  <c r="L137" i="11"/>
  <c r="M137" i="11" s="1"/>
  <c r="J137" i="11"/>
  <c r="I137" i="11"/>
  <c r="C137" i="11"/>
  <c r="D137" i="11" s="1"/>
  <c r="B137" i="11"/>
  <c r="A137" i="11"/>
  <c r="Z136" i="11"/>
  <c r="AA136" i="11" s="1"/>
  <c r="X136" i="11"/>
  <c r="W136" i="11"/>
  <c r="Q136" i="11"/>
  <c r="R136" i="11" s="1"/>
  <c r="P136" i="11"/>
  <c r="S136" i="11" s="1"/>
  <c r="O136" i="11"/>
  <c r="L136" i="11"/>
  <c r="M136" i="11" s="1"/>
  <c r="J136" i="11"/>
  <c r="I136" i="11"/>
  <c r="C136" i="11"/>
  <c r="D136" i="11" s="1"/>
  <c r="B136" i="11"/>
  <c r="A136" i="11"/>
  <c r="Z135" i="11"/>
  <c r="AA135" i="11" s="1"/>
  <c r="X135" i="11"/>
  <c r="W135" i="11"/>
  <c r="Q135" i="11"/>
  <c r="R135" i="11" s="1"/>
  <c r="P135" i="11"/>
  <c r="S135" i="11" s="1"/>
  <c r="O135" i="11"/>
  <c r="L135" i="11"/>
  <c r="M135" i="11" s="1"/>
  <c r="J135" i="11"/>
  <c r="I135" i="11"/>
  <c r="C135" i="11"/>
  <c r="D135" i="11" s="1"/>
  <c r="B135" i="11"/>
  <c r="A135" i="11"/>
  <c r="Z134" i="11"/>
  <c r="AA134" i="11" s="1"/>
  <c r="X134" i="11"/>
  <c r="W134" i="11"/>
  <c r="Q134" i="11"/>
  <c r="R134" i="11" s="1"/>
  <c r="P134" i="11"/>
  <c r="S134" i="11" s="1"/>
  <c r="O134" i="11"/>
  <c r="L134" i="11"/>
  <c r="M134" i="11" s="1"/>
  <c r="J134" i="11"/>
  <c r="I134" i="11"/>
  <c r="C134" i="11"/>
  <c r="D134" i="11" s="1"/>
  <c r="B134" i="11"/>
  <c r="A134" i="11"/>
  <c r="Z133" i="11"/>
  <c r="AA133" i="11" s="1"/>
  <c r="X133" i="11"/>
  <c r="W133" i="11"/>
  <c r="Q133" i="11"/>
  <c r="R133" i="11" s="1"/>
  <c r="P133" i="11"/>
  <c r="S133" i="11" s="1"/>
  <c r="O133" i="11"/>
  <c r="L133" i="11"/>
  <c r="M133" i="11" s="1"/>
  <c r="J133" i="11"/>
  <c r="I133" i="11"/>
  <c r="C133" i="11"/>
  <c r="D133" i="11" s="1"/>
  <c r="B133" i="11"/>
  <c r="A133" i="11"/>
  <c r="Z132" i="11"/>
  <c r="AA132" i="11" s="1"/>
  <c r="X132" i="11"/>
  <c r="W132" i="11"/>
  <c r="Q132" i="11"/>
  <c r="R132" i="11" s="1"/>
  <c r="P132" i="11"/>
  <c r="S132" i="11" s="1"/>
  <c r="O132" i="11"/>
  <c r="L132" i="11"/>
  <c r="M132" i="11" s="1"/>
  <c r="J132" i="11"/>
  <c r="I132" i="11"/>
  <c r="C132" i="11"/>
  <c r="D132" i="11" s="1"/>
  <c r="B132" i="11"/>
  <c r="A132" i="11"/>
  <c r="Z131" i="11"/>
  <c r="AA131" i="11" s="1"/>
  <c r="X131" i="11"/>
  <c r="W131" i="11"/>
  <c r="Q131" i="11"/>
  <c r="R131" i="11" s="1"/>
  <c r="P131" i="11"/>
  <c r="S131" i="11" s="1"/>
  <c r="O131" i="11"/>
  <c r="L131" i="11"/>
  <c r="M131" i="11" s="1"/>
  <c r="J131" i="11"/>
  <c r="I131" i="11"/>
  <c r="C131" i="11"/>
  <c r="D131" i="11" s="1"/>
  <c r="B131" i="11"/>
  <c r="A131" i="11"/>
  <c r="Z130" i="11"/>
  <c r="AA130" i="11" s="1"/>
  <c r="X130" i="11"/>
  <c r="W130" i="11"/>
  <c r="Q130" i="11"/>
  <c r="R130" i="11" s="1"/>
  <c r="P130" i="11"/>
  <c r="S130" i="11" s="1"/>
  <c r="O130" i="11"/>
  <c r="L130" i="11"/>
  <c r="M130" i="11" s="1"/>
  <c r="J130" i="11"/>
  <c r="I130" i="11"/>
  <c r="C130" i="11"/>
  <c r="D130" i="11" s="1"/>
  <c r="B130" i="11"/>
  <c r="A130" i="11"/>
  <c r="Z129" i="11"/>
  <c r="AA129" i="11" s="1"/>
  <c r="X129" i="11"/>
  <c r="W129" i="11"/>
  <c r="Q129" i="11"/>
  <c r="R129" i="11" s="1"/>
  <c r="P129" i="11"/>
  <c r="S129" i="11" s="1"/>
  <c r="O129" i="11"/>
  <c r="L129" i="11"/>
  <c r="M129" i="11" s="1"/>
  <c r="J129" i="11"/>
  <c r="I129" i="11"/>
  <c r="C129" i="11"/>
  <c r="D129" i="11" s="1"/>
  <c r="B129" i="11"/>
  <c r="A129" i="11"/>
  <c r="Z128" i="11"/>
  <c r="AA128" i="11" s="1"/>
  <c r="X128" i="11"/>
  <c r="W128" i="11"/>
  <c r="Q128" i="11"/>
  <c r="R128" i="11" s="1"/>
  <c r="P128" i="11"/>
  <c r="S128" i="11" s="1"/>
  <c r="O128" i="11"/>
  <c r="L128" i="11"/>
  <c r="M128" i="11" s="1"/>
  <c r="J128" i="11"/>
  <c r="I128" i="11"/>
  <c r="C128" i="11"/>
  <c r="D128" i="11" s="1"/>
  <c r="B128" i="11"/>
  <c r="A128" i="11"/>
  <c r="Z127" i="11"/>
  <c r="AA127" i="11" s="1"/>
  <c r="X127" i="11"/>
  <c r="W127" i="11"/>
  <c r="Q127" i="11"/>
  <c r="R127" i="11" s="1"/>
  <c r="P127" i="11"/>
  <c r="S127" i="11" s="1"/>
  <c r="O127" i="11"/>
  <c r="L127" i="11"/>
  <c r="M127" i="11" s="1"/>
  <c r="J127" i="11"/>
  <c r="I127" i="11"/>
  <c r="C127" i="11"/>
  <c r="D127" i="11" s="1"/>
  <c r="B127" i="11"/>
  <c r="A127" i="11"/>
  <c r="Z126" i="11"/>
  <c r="AA126" i="11" s="1"/>
  <c r="X126" i="11"/>
  <c r="W126" i="11"/>
  <c r="Q126" i="11"/>
  <c r="R126" i="11" s="1"/>
  <c r="P126" i="11"/>
  <c r="S126" i="11" s="1"/>
  <c r="O126" i="11"/>
  <c r="L126" i="11"/>
  <c r="M126" i="11" s="1"/>
  <c r="J126" i="11"/>
  <c r="I126" i="11"/>
  <c r="C126" i="11"/>
  <c r="D126" i="11" s="1"/>
  <c r="B126" i="11"/>
  <c r="A126" i="11"/>
  <c r="Z125" i="11"/>
  <c r="AA125" i="11" s="1"/>
  <c r="X125" i="11"/>
  <c r="W125" i="11"/>
  <c r="Q125" i="11"/>
  <c r="R125" i="11" s="1"/>
  <c r="P125" i="11"/>
  <c r="S125" i="11" s="1"/>
  <c r="O125" i="11"/>
  <c r="L125" i="11"/>
  <c r="M125" i="11" s="1"/>
  <c r="J125" i="11"/>
  <c r="I125" i="11"/>
  <c r="C125" i="11"/>
  <c r="D125" i="11" s="1"/>
  <c r="B125" i="11"/>
  <c r="A125" i="11"/>
  <c r="Z124" i="11"/>
  <c r="AA124" i="11" s="1"/>
  <c r="X124" i="11"/>
  <c r="W124" i="11"/>
  <c r="Q124" i="11"/>
  <c r="R124" i="11" s="1"/>
  <c r="P124" i="11"/>
  <c r="S124" i="11" s="1"/>
  <c r="O124" i="11"/>
  <c r="L124" i="11"/>
  <c r="M124" i="11" s="1"/>
  <c r="J124" i="11"/>
  <c r="I124" i="11"/>
  <c r="C124" i="11"/>
  <c r="D124" i="11" s="1"/>
  <c r="B124" i="11"/>
  <c r="A124" i="11"/>
  <c r="Z123" i="11"/>
  <c r="AA123" i="11" s="1"/>
  <c r="X123" i="11"/>
  <c r="W123" i="11"/>
  <c r="Q123" i="11"/>
  <c r="R123" i="11" s="1"/>
  <c r="P123" i="11"/>
  <c r="S123" i="11" s="1"/>
  <c r="O123" i="11"/>
  <c r="L123" i="11"/>
  <c r="M123" i="11" s="1"/>
  <c r="J123" i="11"/>
  <c r="I123" i="11"/>
  <c r="C123" i="11"/>
  <c r="D123" i="11" s="1"/>
  <c r="B123" i="11"/>
  <c r="A123" i="11"/>
  <c r="Z122" i="11"/>
  <c r="AA122" i="11" s="1"/>
  <c r="X122" i="11"/>
  <c r="W122" i="11"/>
  <c r="Q122" i="11"/>
  <c r="R122" i="11" s="1"/>
  <c r="P122" i="11"/>
  <c r="S122" i="11" s="1"/>
  <c r="O122" i="11"/>
  <c r="L122" i="11"/>
  <c r="M122" i="11" s="1"/>
  <c r="J122" i="11"/>
  <c r="I122" i="11"/>
  <c r="C122" i="11"/>
  <c r="D122" i="11" s="1"/>
  <c r="B122" i="11"/>
  <c r="A122" i="11"/>
  <c r="Z121" i="11"/>
  <c r="AA121" i="11" s="1"/>
  <c r="X121" i="11"/>
  <c r="W121" i="11"/>
  <c r="Q121" i="11"/>
  <c r="R121" i="11" s="1"/>
  <c r="P121" i="11"/>
  <c r="S121" i="11" s="1"/>
  <c r="O121" i="11"/>
  <c r="L121" i="11"/>
  <c r="M121" i="11" s="1"/>
  <c r="J121" i="11"/>
  <c r="I121" i="11"/>
  <c r="C121" i="11"/>
  <c r="D121" i="11" s="1"/>
  <c r="B121" i="11"/>
  <c r="A121" i="11"/>
  <c r="Z120" i="11"/>
  <c r="AA120" i="11" s="1"/>
  <c r="X120" i="11"/>
  <c r="W120" i="11"/>
  <c r="Q120" i="11"/>
  <c r="R120" i="11" s="1"/>
  <c r="P120" i="11"/>
  <c r="S120" i="11" s="1"/>
  <c r="O120" i="11"/>
  <c r="L120" i="11"/>
  <c r="M120" i="11" s="1"/>
  <c r="J120" i="11"/>
  <c r="I120" i="11"/>
  <c r="C120" i="11"/>
  <c r="D120" i="11" s="1"/>
  <c r="B120" i="11"/>
  <c r="A120" i="11"/>
  <c r="Z119" i="11"/>
  <c r="AA119" i="11" s="1"/>
  <c r="X119" i="11"/>
  <c r="W119" i="11"/>
  <c r="Q119" i="11"/>
  <c r="R119" i="11" s="1"/>
  <c r="P119" i="11"/>
  <c r="S119" i="11" s="1"/>
  <c r="O119" i="11"/>
  <c r="L119" i="11"/>
  <c r="M119" i="11" s="1"/>
  <c r="J119" i="11"/>
  <c r="I119" i="11"/>
  <c r="C119" i="11"/>
  <c r="D119" i="11" s="1"/>
  <c r="B119" i="11"/>
  <c r="A119" i="11"/>
  <c r="Z118" i="11"/>
  <c r="AA118" i="11" s="1"/>
  <c r="X118" i="11"/>
  <c r="W118" i="11"/>
  <c r="Q118" i="11"/>
  <c r="R118" i="11" s="1"/>
  <c r="P118" i="11"/>
  <c r="S118" i="11" s="1"/>
  <c r="O118" i="11"/>
  <c r="L118" i="11"/>
  <c r="M118" i="11" s="1"/>
  <c r="J118" i="11"/>
  <c r="I118" i="11"/>
  <c r="C118" i="11"/>
  <c r="D118" i="11" s="1"/>
  <c r="B118" i="11"/>
  <c r="A118" i="11"/>
  <c r="Z117" i="11"/>
  <c r="AA117" i="11" s="1"/>
  <c r="X117" i="11"/>
  <c r="W117" i="11"/>
  <c r="Q117" i="11"/>
  <c r="R117" i="11" s="1"/>
  <c r="P117" i="11"/>
  <c r="S117" i="11" s="1"/>
  <c r="O117" i="11"/>
  <c r="L117" i="11"/>
  <c r="M117" i="11" s="1"/>
  <c r="J117" i="11"/>
  <c r="I117" i="11"/>
  <c r="C117" i="11"/>
  <c r="D117" i="11" s="1"/>
  <c r="B117" i="11"/>
  <c r="A117" i="11"/>
  <c r="Z116" i="11"/>
  <c r="AA116" i="11" s="1"/>
  <c r="X116" i="11"/>
  <c r="W116" i="11"/>
  <c r="Q116" i="11"/>
  <c r="R116" i="11" s="1"/>
  <c r="P116" i="11"/>
  <c r="S116" i="11" s="1"/>
  <c r="O116" i="11"/>
  <c r="L116" i="11"/>
  <c r="M116" i="11" s="1"/>
  <c r="J116" i="11"/>
  <c r="I116" i="11"/>
  <c r="C116" i="11"/>
  <c r="D116" i="11" s="1"/>
  <c r="B116" i="11"/>
  <c r="A116" i="11"/>
  <c r="Z115" i="11"/>
  <c r="AA115" i="11" s="1"/>
  <c r="X115" i="11"/>
  <c r="W115" i="11"/>
  <c r="Q115" i="11"/>
  <c r="R115" i="11" s="1"/>
  <c r="P115" i="11"/>
  <c r="S115" i="11" s="1"/>
  <c r="O115" i="11"/>
  <c r="L115" i="11"/>
  <c r="M115" i="11" s="1"/>
  <c r="J115" i="11"/>
  <c r="I115" i="11"/>
  <c r="C115" i="11"/>
  <c r="D115" i="11" s="1"/>
  <c r="B115" i="11"/>
  <c r="A115" i="11"/>
  <c r="Z114" i="11"/>
  <c r="AA114" i="11" s="1"/>
  <c r="X114" i="11"/>
  <c r="W114" i="11"/>
  <c r="Q114" i="11"/>
  <c r="R114" i="11" s="1"/>
  <c r="P114" i="11"/>
  <c r="S114" i="11" s="1"/>
  <c r="O114" i="11"/>
  <c r="L114" i="11"/>
  <c r="M114" i="11" s="1"/>
  <c r="J114" i="11"/>
  <c r="I114" i="11"/>
  <c r="C114" i="11"/>
  <c r="D114" i="11" s="1"/>
  <c r="B114" i="11"/>
  <c r="A114" i="11"/>
  <c r="Z113" i="11"/>
  <c r="AA113" i="11" s="1"/>
  <c r="X113" i="11"/>
  <c r="W113" i="11"/>
  <c r="Q113" i="11"/>
  <c r="R113" i="11" s="1"/>
  <c r="P113" i="11"/>
  <c r="S113" i="11" s="1"/>
  <c r="O113" i="11"/>
  <c r="L113" i="11"/>
  <c r="M113" i="11" s="1"/>
  <c r="J113" i="11"/>
  <c r="I113" i="11"/>
  <c r="C113" i="11"/>
  <c r="D113" i="11" s="1"/>
  <c r="B113" i="11"/>
  <c r="A113" i="11"/>
  <c r="Z112" i="11"/>
  <c r="AA112" i="11" s="1"/>
  <c r="X112" i="11"/>
  <c r="W112" i="11"/>
  <c r="Q112" i="11"/>
  <c r="R112" i="11" s="1"/>
  <c r="P112" i="11"/>
  <c r="S112" i="11" s="1"/>
  <c r="O112" i="11"/>
  <c r="L112" i="11"/>
  <c r="M112" i="11" s="1"/>
  <c r="J112" i="11"/>
  <c r="I112" i="11"/>
  <c r="C112" i="11"/>
  <c r="D112" i="11" s="1"/>
  <c r="B112" i="11"/>
  <c r="A112" i="11"/>
  <c r="Z111" i="11"/>
  <c r="AA111" i="11" s="1"/>
  <c r="X111" i="11"/>
  <c r="W111" i="11"/>
  <c r="Q111" i="11"/>
  <c r="R111" i="11" s="1"/>
  <c r="P111" i="11"/>
  <c r="S111" i="11" s="1"/>
  <c r="O111" i="11"/>
  <c r="L111" i="11"/>
  <c r="M111" i="11" s="1"/>
  <c r="J111" i="11"/>
  <c r="I111" i="11"/>
  <c r="C111" i="11"/>
  <c r="D111" i="11" s="1"/>
  <c r="B111" i="11"/>
  <c r="A111" i="11"/>
  <c r="Z110" i="11"/>
  <c r="AA110" i="11" s="1"/>
  <c r="X110" i="11"/>
  <c r="W110" i="11"/>
  <c r="Q110" i="11"/>
  <c r="R110" i="11" s="1"/>
  <c r="P110" i="11"/>
  <c r="S110" i="11" s="1"/>
  <c r="O110" i="11"/>
  <c r="L110" i="11"/>
  <c r="M110" i="11" s="1"/>
  <c r="J110" i="11"/>
  <c r="I110" i="11"/>
  <c r="C110" i="11"/>
  <c r="D110" i="11" s="1"/>
  <c r="B110" i="11"/>
  <c r="A110" i="11"/>
  <c r="Z109" i="11"/>
  <c r="AA109" i="11" s="1"/>
  <c r="X109" i="11"/>
  <c r="W109" i="11"/>
  <c r="Q109" i="11"/>
  <c r="R109" i="11" s="1"/>
  <c r="P109" i="11"/>
  <c r="S109" i="11" s="1"/>
  <c r="O109" i="11"/>
  <c r="L109" i="11"/>
  <c r="M109" i="11" s="1"/>
  <c r="J109" i="11"/>
  <c r="I109" i="11"/>
  <c r="C109" i="11"/>
  <c r="D109" i="11" s="1"/>
  <c r="B109" i="11"/>
  <c r="A109" i="11"/>
  <c r="Z108" i="11"/>
  <c r="AA108" i="11" s="1"/>
  <c r="X108" i="11"/>
  <c r="W108" i="11"/>
  <c r="Q108" i="11"/>
  <c r="R108" i="11" s="1"/>
  <c r="P108" i="11"/>
  <c r="S108" i="11" s="1"/>
  <c r="O108" i="11"/>
  <c r="L108" i="11"/>
  <c r="M108" i="11" s="1"/>
  <c r="J108" i="11"/>
  <c r="I108" i="11"/>
  <c r="C108" i="11"/>
  <c r="D108" i="11" s="1"/>
  <c r="B108" i="11"/>
  <c r="A108" i="11"/>
  <c r="Z107" i="11"/>
  <c r="AA107" i="11" s="1"/>
  <c r="X107" i="11"/>
  <c r="W107" i="11"/>
  <c r="Q107" i="11"/>
  <c r="R107" i="11" s="1"/>
  <c r="P107" i="11"/>
  <c r="S107" i="11" s="1"/>
  <c r="O107" i="11"/>
  <c r="L107" i="11"/>
  <c r="M107" i="11" s="1"/>
  <c r="J107" i="11"/>
  <c r="I107" i="11"/>
  <c r="C107" i="11"/>
  <c r="D107" i="11" s="1"/>
  <c r="B107" i="11"/>
  <c r="A107" i="11"/>
  <c r="Z106" i="11"/>
  <c r="AA106" i="11" s="1"/>
  <c r="X106" i="11"/>
  <c r="W106" i="11"/>
  <c r="Q106" i="11"/>
  <c r="R106" i="11" s="1"/>
  <c r="P106" i="11"/>
  <c r="S106" i="11" s="1"/>
  <c r="O106" i="11"/>
  <c r="L106" i="11"/>
  <c r="M106" i="11" s="1"/>
  <c r="J106" i="11"/>
  <c r="I106" i="11"/>
  <c r="C106" i="11"/>
  <c r="D106" i="11" s="1"/>
  <c r="B106" i="11"/>
  <c r="A106" i="11"/>
  <c r="Z105" i="11"/>
  <c r="AA105" i="11" s="1"/>
  <c r="X105" i="11"/>
  <c r="W105" i="11"/>
  <c r="Q105" i="11"/>
  <c r="R105" i="11" s="1"/>
  <c r="P105" i="11"/>
  <c r="S105" i="11" s="1"/>
  <c r="O105" i="11"/>
  <c r="L105" i="11"/>
  <c r="M105" i="11" s="1"/>
  <c r="J105" i="11"/>
  <c r="I105" i="11"/>
  <c r="C105" i="11"/>
  <c r="D105" i="11" s="1"/>
  <c r="B105" i="11"/>
  <c r="A105" i="11"/>
  <c r="Z104" i="11"/>
  <c r="AA104" i="11" s="1"/>
  <c r="X104" i="11"/>
  <c r="W104" i="11"/>
  <c r="Q104" i="11"/>
  <c r="R104" i="11" s="1"/>
  <c r="P104" i="11"/>
  <c r="S104" i="11" s="1"/>
  <c r="O104" i="11"/>
  <c r="L104" i="11"/>
  <c r="M104" i="11" s="1"/>
  <c r="J104" i="11"/>
  <c r="I104" i="11"/>
  <c r="C104" i="11"/>
  <c r="D104" i="11" s="1"/>
  <c r="B104" i="11"/>
  <c r="A104" i="11"/>
  <c r="Z103" i="11"/>
  <c r="AA103" i="11" s="1"/>
  <c r="X103" i="11"/>
  <c r="W103" i="11"/>
  <c r="Q103" i="11"/>
  <c r="R103" i="11" s="1"/>
  <c r="P103" i="11"/>
  <c r="S103" i="11" s="1"/>
  <c r="O103" i="11"/>
  <c r="L103" i="11"/>
  <c r="M103" i="11" s="1"/>
  <c r="J103" i="11"/>
  <c r="I103" i="11"/>
  <c r="C103" i="11"/>
  <c r="D103" i="11" s="1"/>
  <c r="B103" i="11"/>
  <c r="A103" i="11"/>
  <c r="Z102" i="11"/>
  <c r="AA102" i="11" s="1"/>
  <c r="X102" i="11"/>
  <c r="W102" i="11"/>
  <c r="Q102" i="11"/>
  <c r="R102" i="11" s="1"/>
  <c r="P102" i="11"/>
  <c r="S102" i="11" s="1"/>
  <c r="O102" i="11"/>
  <c r="L102" i="11"/>
  <c r="M102" i="11" s="1"/>
  <c r="J102" i="11"/>
  <c r="I102" i="11"/>
  <c r="C102" i="11"/>
  <c r="D102" i="11" s="1"/>
  <c r="B102" i="11"/>
  <c r="A102" i="11"/>
  <c r="Z101" i="11"/>
  <c r="AA101" i="11" s="1"/>
  <c r="X101" i="11"/>
  <c r="W101" i="11"/>
  <c r="Q101" i="11"/>
  <c r="R101" i="11" s="1"/>
  <c r="P101" i="11"/>
  <c r="S101" i="11" s="1"/>
  <c r="O101" i="11"/>
  <c r="L101" i="11"/>
  <c r="M101" i="11" s="1"/>
  <c r="J101" i="11"/>
  <c r="I101" i="11"/>
  <c r="C101" i="11"/>
  <c r="D101" i="11" s="1"/>
  <c r="B101" i="11"/>
  <c r="A101" i="11"/>
  <c r="Z100" i="11"/>
  <c r="AA100" i="11" s="1"/>
  <c r="X100" i="11"/>
  <c r="W100" i="11"/>
  <c r="Q100" i="11"/>
  <c r="R100" i="11" s="1"/>
  <c r="P100" i="11"/>
  <c r="S100" i="11" s="1"/>
  <c r="O100" i="11"/>
  <c r="L100" i="11"/>
  <c r="M100" i="11" s="1"/>
  <c r="J100" i="11"/>
  <c r="I100" i="11"/>
  <c r="C100" i="11"/>
  <c r="D100" i="11" s="1"/>
  <c r="B100" i="11"/>
  <c r="A100" i="11"/>
  <c r="Z99" i="11"/>
  <c r="AA99" i="11" s="1"/>
  <c r="X99" i="11"/>
  <c r="W99" i="11"/>
  <c r="Q99" i="11"/>
  <c r="R99" i="11" s="1"/>
  <c r="P99" i="11"/>
  <c r="S99" i="11" s="1"/>
  <c r="O99" i="11"/>
  <c r="L99" i="11"/>
  <c r="M99" i="11" s="1"/>
  <c r="J99" i="11"/>
  <c r="I99" i="11"/>
  <c r="C99" i="11"/>
  <c r="D99" i="11" s="1"/>
  <c r="B99" i="11"/>
  <c r="A99" i="11"/>
  <c r="Z98" i="11"/>
  <c r="AA98" i="11" s="1"/>
  <c r="X98" i="11"/>
  <c r="W98" i="11"/>
  <c r="Q98" i="11"/>
  <c r="R98" i="11" s="1"/>
  <c r="P98" i="11"/>
  <c r="S98" i="11" s="1"/>
  <c r="O98" i="11"/>
  <c r="L98" i="11"/>
  <c r="M98" i="11" s="1"/>
  <c r="J98" i="11"/>
  <c r="I98" i="11"/>
  <c r="C98" i="11"/>
  <c r="D98" i="11" s="1"/>
  <c r="B98" i="11"/>
  <c r="A98" i="11"/>
  <c r="Z97" i="11"/>
  <c r="AA97" i="11" s="1"/>
  <c r="X97" i="11"/>
  <c r="W97" i="11"/>
  <c r="Q97" i="11"/>
  <c r="R97" i="11" s="1"/>
  <c r="P97" i="11"/>
  <c r="S97" i="11" s="1"/>
  <c r="O97" i="11"/>
  <c r="L97" i="11"/>
  <c r="M97" i="11" s="1"/>
  <c r="J97" i="11"/>
  <c r="I97" i="11"/>
  <c r="C97" i="11"/>
  <c r="D97" i="11" s="1"/>
  <c r="B97" i="11"/>
  <c r="A97" i="11"/>
  <c r="Z96" i="11"/>
  <c r="AA96" i="11" s="1"/>
  <c r="X96" i="11"/>
  <c r="W96" i="11"/>
  <c r="Q96" i="11"/>
  <c r="R96" i="11" s="1"/>
  <c r="P96" i="11"/>
  <c r="S96" i="11" s="1"/>
  <c r="O96" i="11"/>
  <c r="L96" i="11"/>
  <c r="M96" i="11" s="1"/>
  <c r="J96" i="11"/>
  <c r="I96" i="11"/>
  <c r="C96" i="11"/>
  <c r="D96" i="11" s="1"/>
  <c r="B96" i="11"/>
  <c r="A96" i="11"/>
  <c r="Z95" i="11"/>
  <c r="AA95" i="11" s="1"/>
  <c r="X95" i="11"/>
  <c r="W95" i="11"/>
  <c r="Q95" i="11"/>
  <c r="R95" i="11" s="1"/>
  <c r="P95" i="11"/>
  <c r="S95" i="11" s="1"/>
  <c r="O95" i="11"/>
  <c r="L95" i="11"/>
  <c r="M95" i="11" s="1"/>
  <c r="J95" i="11"/>
  <c r="I95" i="11"/>
  <c r="D95" i="11"/>
  <c r="C95" i="11"/>
  <c r="B95" i="11"/>
  <c r="A95" i="11"/>
  <c r="Z94" i="11"/>
  <c r="AA94" i="11" s="1"/>
  <c r="X94" i="11"/>
  <c r="W94" i="11"/>
  <c r="Q94" i="11"/>
  <c r="R94" i="11" s="1"/>
  <c r="P94" i="11"/>
  <c r="S94" i="11" s="1"/>
  <c r="O94" i="11"/>
  <c r="L94" i="11"/>
  <c r="M94" i="11" s="1"/>
  <c r="J94" i="11"/>
  <c r="I94" i="11"/>
  <c r="C94" i="11"/>
  <c r="D94" i="11" s="1"/>
  <c r="B94" i="11"/>
  <c r="A94" i="11"/>
  <c r="Z93" i="11"/>
  <c r="AA93" i="11" s="1"/>
  <c r="X93" i="11"/>
  <c r="W93" i="11"/>
  <c r="Q93" i="11"/>
  <c r="R93" i="11" s="1"/>
  <c r="P93" i="11"/>
  <c r="S93" i="11" s="1"/>
  <c r="O93" i="11"/>
  <c r="L93" i="11"/>
  <c r="M93" i="11" s="1"/>
  <c r="J93" i="11"/>
  <c r="I93" i="11"/>
  <c r="C93" i="11"/>
  <c r="D93" i="11" s="1"/>
  <c r="B93" i="11"/>
  <c r="A93" i="11"/>
  <c r="Z92" i="11"/>
  <c r="AA92" i="11" s="1"/>
  <c r="X92" i="11"/>
  <c r="W92" i="11"/>
  <c r="Q92" i="11"/>
  <c r="R92" i="11" s="1"/>
  <c r="T92" i="11" s="1"/>
  <c r="P92" i="11"/>
  <c r="S92" i="11" s="1"/>
  <c r="O92" i="11"/>
  <c r="L92" i="11"/>
  <c r="M92" i="11" s="1"/>
  <c r="J92" i="11"/>
  <c r="I92" i="11"/>
  <c r="C92" i="11"/>
  <c r="D92" i="11" s="1"/>
  <c r="B92" i="11"/>
  <c r="A92" i="11"/>
  <c r="Z91" i="11"/>
  <c r="AA91" i="11" s="1"/>
  <c r="X91" i="11"/>
  <c r="W91" i="11"/>
  <c r="Q91" i="11"/>
  <c r="R91" i="11" s="1"/>
  <c r="P91" i="11"/>
  <c r="S91" i="11" s="1"/>
  <c r="O91" i="11"/>
  <c r="L91" i="11"/>
  <c r="M91" i="11" s="1"/>
  <c r="J91" i="11"/>
  <c r="I91" i="11"/>
  <c r="C91" i="11"/>
  <c r="D91" i="11" s="1"/>
  <c r="B91" i="11"/>
  <c r="A91" i="11"/>
  <c r="Z90" i="11"/>
  <c r="AA90" i="11" s="1"/>
  <c r="X90" i="11"/>
  <c r="W90" i="11"/>
  <c r="Q90" i="11"/>
  <c r="R90" i="11" s="1"/>
  <c r="P90" i="11"/>
  <c r="S90" i="11" s="1"/>
  <c r="O90" i="11"/>
  <c r="L90" i="11"/>
  <c r="M90" i="11" s="1"/>
  <c r="J90" i="11"/>
  <c r="I90" i="11"/>
  <c r="C90" i="11"/>
  <c r="D90" i="11" s="1"/>
  <c r="B90" i="11"/>
  <c r="A90" i="11"/>
  <c r="Z89" i="11"/>
  <c r="AA89" i="11" s="1"/>
  <c r="X89" i="11"/>
  <c r="W89" i="11"/>
  <c r="Q89" i="11"/>
  <c r="R89" i="11" s="1"/>
  <c r="P89" i="11"/>
  <c r="S89" i="11" s="1"/>
  <c r="O89" i="11"/>
  <c r="L89" i="11"/>
  <c r="M89" i="11" s="1"/>
  <c r="J89" i="11"/>
  <c r="I89" i="11"/>
  <c r="C89" i="11"/>
  <c r="D89" i="11" s="1"/>
  <c r="B89" i="11"/>
  <c r="A89" i="11"/>
  <c r="Z88" i="11"/>
  <c r="AA88" i="11" s="1"/>
  <c r="X88" i="11"/>
  <c r="W88" i="11"/>
  <c r="Q88" i="11"/>
  <c r="R88" i="11" s="1"/>
  <c r="P88" i="11"/>
  <c r="S88" i="11" s="1"/>
  <c r="O88" i="11"/>
  <c r="L88" i="11"/>
  <c r="M88" i="11" s="1"/>
  <c r="J88" i="11"/>
  <c r="I88" i="11"/>
  <c r="C88" i="11"/>
  <c r="D88" i="11" s="1"/>
  <c r="B88" i="11"/>
  <c r="A88" i="11"/>
  <c r="Z87" i="11"/>
  <c r="AA87" i="11" s="1"/>
  <c r="X87" i="11"/>
  <c r="W87" i="11"/>
  <c r="Q87" i="11"/>
  <c r="R87" i="11" s="1"/>
  <c r="P87" i="11"/>
  <c r="S87" i="11" s="1"/>
  <c r="O87" i="11"/>
  <c r="L87" i="11"/>
  <c r="M87" i="11" s="1"/>
  <c r="J87" i="11"/>
  <c r="I87" i="11"/>
  <c r="C87" i="11"/>
  <c r="D87" i="11" s="1"/>
  <c r="B87" i="11"/>
  <c r="A87" i="11"/>
  <c r="Z86" i="11"/>
  <c r="AA86" i="11" s="1"/>
  <c r="X86" i="11"/>
  <c r="W86" i="11"/>
  <c r="Q86" i="11"/>
  <c r="R86" i="11" s="1"/>
  <c r="P86" i="11"/>
  <c r="S86" i="11" s="1"/>
  <c r="O86" i="11"/>
  <c r="L86" i="11"/>
  <c r="M86" i="11" s="1"/>
  <c r="J86" i="11"/>
  <c r="I86" i="11"/>
  <c r="C86" i="11"/>
  <c r="D86" i="11" s="1"/>
  <c r="B86" i="11"/>
  <c r="A86" i="11"/>
  <c r="Z85" i="11"/>
  <c r="AA85" i="11" s="1"/>
  <c r="X85" i="11"/>
  <c r="W85" i="11"/>
  <c r="Q85" i="11"/>
  <c r="R85" i="11" s="1"/>
  <c r="P85" i="11"/>
  <c r="S85" i="11" s="1"/>
  <c r="O85" i="11"/>
  <c r="L85" i="11"/>
  <c r="M85" i="11" s="1"/>
  <c r="J85" i="11"/>
  <c r="I85" i="11"/>
  <c r="C85" i="11"/>
  <c r="D85" i="11" s="1"/>
  <c r="B85" i="11"/>
  <c r="A85" i="11"/>
  <c r="Z84" i="11"/>
  <c r="AA84" i="11" s="1"/>
  <c r="X84" i="11"/>
  <c r="W84" i="11"/>
  <c r="Q84" i="11"/>
  <c r="R84" i="11" s="1"/>
  <c r="P84" i="11"/>
  <c r="S84" i="11" s="1"/>
  <c r="O84" i="11"/>
  <c r="L84" i="11"/>
  <c r="M84" i="11" s="1"/>
  <c r="J84" i="11"/>
  <c r="I84" i="11"/>
  <c r="C84" i="11"/>
  <c r="D84" i="11" s="1"/>
  <c r="B84" i="11"/>
  <c r="A84" i="11"/>
  <c r="Z83" i="11"/>
  <c r="AA83" i="11" s="1"/>
  <c r="X83" i="11"/>
  <c r="W83" i="11"/>
  <c r="Q83" i="11"/>
  <c r="R83" i="11" s="1"/>
  <c r="P83" i="11"/>
  <c r="S83" i="11" s="1"/>
  <c r="O83" i="11"/>
  <c r="L83" i="11"/>
  <c r="M83" i="11" s="1"/>
  <c r="J83" i="11"/>
  <c r="I83" i="11"/>
  <c r="C83" i="11"/>
  <c r="D83" i="11" s="1"/>
  <c r="B83" i="11"/>
  <c r="A83" i="11"/>
  <c r="Z82" i="11"/>
  <c r="AA82" i="11" s="1"/>
  <c r="X82" i="11"/>
  <c r="W82" i="11"/>
  <c r="Q82" i="11"/>
  <c r="R82" i="11" s="1"/>
  <c r="P82" i="11"/>
  <c r="S82" i="11" s="1"/>
  <c r="O82" i="11"/>
  <c r="L82" i="11"/>
  <c r="M82" i="11" s="1"/>
  <c r="J82" i="11"/>
  <c r="I82" i="11"/>
  <c r="C82" i="11"/>
  <c r="D82" i="11" s="1"/>
  <c r="B82" i="11"/>
  <c r="A82" i="11"/>
  <c r="Z81" i="11"/>
  <c r="AA81" i="11" s="1"/>
  <c r="X81" i="11"/>
  <c r="W81" i="11"/>
  <c r="Q81" i="11"/>
  <c r="R81" i="11" s="1"/>
  <c r="P81" i="11"/>
  <c r="S81" i="11" s="1"/>
  <c r="O81" i="11"/>
  <c r="L81" i="11"/>
  <c r="M81" i="11" s="1"/>
  <c r="J81" i="11"/>
  <c r="I81" i="11"/>
  <c r="C81" i="11"/>
  <c r="D81" i="11" s="1"/>
  <c r="B81" i="11"/>
  <c r="A81" i="11"/>
  <c r="Z80" i="11"/>
  <c r="AA80" i="11" s="1"/>
  <c r="X80" i="11"/>
  <c r="W80" i="11"/>
  <c r="Q80" i="11"/>
  <c r="R80" i="11" s="1"/>
  <c r="P80" i="11"/>
  <c r="S80" i="11" s="1"/>
  <c r="O80" i="11"/>
  <c r="L80" i="11"/>
  <c r="M80" i="11" s="1"/>
  <c r="J80" i="11"/>
  <c r="I80" i="11"/>
  <c r="C80" i="11"/>
  <c r="D80" i="11" s="1"/>
  <c r="B80" i="11"/>
  <c r="A80" i="11"/>
  <c r="Z79" i="11"/>
  <c r="AA79" i="11" s="1"/>
  <c r="X79" i="11"/>
  <c r="W79" i="11"/>
  <c r="Q79" i="11"/>
  <c r="R79" i="11" s="1"/>
  <c r="P79" i="11"/>
  <c r="S79" i="11" s="1"/>
  <c r="O79" i="11"/>
  <c r="L79" i="11"/>
  <c r="M79" i="11" s="1"/>
  <c r="J79" i="11"/>
  <c r="I79" i="11"/>
  <c r="C79" i="11"/>
  <c r="D79" i="11" s="1"/>
  <c r="B79" i="11"/>
  <c r="A79" i="11"/>
  <c r="Z78" i="11"/>
  <c r="AA78" i="11" s="1"/>
  <c r="X78" i="11"/>
  <c r="W78" i="11"/>
  <c r="Q78" i="11"/>
  <c r="R78" i="11" s="1"/>
  <c r="T78" i="11" s="1"/>
  <c r="P78" i="11"/>
  <c r="S78" i="11" s="1"/>
  <c r="O78" i="11"/>
  <c r="L78" i="11"/>
  <c r="M78" i="11" s="1"/>
  <c r="J78" i="11"/>
  <c r="I78" i="11"/>
  <c r="C78" i="11"/>
  <c r="D78" i="11" s="1"/>
  <c r="B78" i="11"/>
  <c r="A78" i="11"/>
  <c r="Z77" i="11"/>
  <c r="AA77" i="11" s="1"/>
  <c r="X77" i="11"/>
  <c r="W77" i="11"/>
  <c r="Q77" i="11"/>
  <c r="R77" i="11" s="1"/>
  <c r="P77" i="11"/>
  <c r="S77" i="11" s="1"/>
  <c r="O77" i="11"/>
  <c r="L77" i="11"/>
  <c r="M77" i="11" s="1"/>
  <c r="J77" i="11"/>
  <c r="I77" i="11"/>
  <c r="C77" i="11"/>
  <c r="D77" i="11" s="1"/>
  <c r="B77" i="11"/>
  <c r="A77" i="11"/>
  <c r="Z76" i="11"/>
  <c r="AA76" i="11" s="1"/>
  <c r="X76" i="11"/>
  <c r="W76" i="11"/>
  <c r="Q76" i="11"/>
  <c r="R76" i="11" s="1"/>
  <c r="T76" i="11" s="1"/>
  <c r="P76" i="11"/>
  <c r="S76" i="11" s="1"/>
  <c r="O76" i="11"/>
  <c r="L76" i="11"/>
  <c r="M76" i="11" s="1"/>
  <c r="J76" i="11"/>
  <c r="I76" i="11"/>
  <c r="C76" i="11"/>
  <c r="D76" i="11" s="1"/>
  <c r="B76" i="11"/>
  <c r="A76" i="11"/>
  <c r="Z75" i="11"/>
  <c r="AA75" i="11" s="1"/>
  <c r="X75" i="11"/>
  <c r="W75" i="11"/>
  <c r="Q75" i="11"/>
  <c r="R75" i="11" s="1"/>
  <c r="P75" i="11"/>
  <c r="S75" i="11" s="1"/>
  <c r="O75" i="11"/>
  <c r="L75" i="11"/>
  <c r="M75" i="11" s="1"/>
  <c r="J75" i="11"/>
  <c r="I75" i="11"/>
  <c r="C75" i="11"/>
  <c r="D75" i="11" s="1"/>
  <c r="B75" i="11"/>
  <c r="A75" i="11"/>
  <c r="Z74" i="11"/>
  <c r="AA74" i="11" s="1"/>
  <c r="X74" i="11"/>
  <c r="W74" i="11"/>
  <c r="Q74" i="11"/>
  <c r="R74" i="11" s="1"/>
  <c r="P74" i="11"/>
  <c r="S74" i="11" s="1"/>
  <c r="O74" i="11"/>
  <c r="L74" i="11"/>
  <c r="M74" i="11" s="1"/>
  <c r="J74" i="11"/>
  <c r="I74" i="11"/>
  <c r="C74" i="11"/>
  <c r="D74" i="11" s="1"/>
  <c r="B74" i="11"/>
  <c r="A74" i="11"/>
  <c r="Z73" i="11"/>
  <c r="AA73" i="11" s="1"/>
  <c r="X73" i="11"/>
  <c r="W73" i="11"/>
  <c r="Q73" i="11"/>
  <c r="R73" i="11" s="1"/>
  <c r="T73" i="11" s="1"/>
  <c r="P73" i="11"/>
  <c r="S73" i="11" s="1"/>
  <c r="O73" i="11"/>
  <c r="L73" i="11"/>
  <c r="M73" i="11" s="1"/>
  <c r="J73" i="11"/>
  <c r="I73" i="11"/>
  <c r="C73" i="11"/>
  <c r="D73" i="11" s="1"/>
  <c r="B73" i="11"/>
  <c r="A73" i="11"/>
  <c r="Z72" i="11"/>
  <c r="AA72" i="11" s="1"/>
  <c r="X72" i="11"/>
  <c r="W72" i="11"/>
  <c r="Q72" i="11"/>
  <c r="R72" i="11" s="1"/>
  <c r="P72" i="11"/>
  <c r="S72" i="11" s="1"/>
  <c r="O72" i="11"/>
  <c r="L72" i="11"/>
  <c r="M72" i="11" s="1"/>
  <c r="J72" i="11"/>
  <c r="I72" i="11"/>
  <c r="C72" i="11"/>
  <c r="D72" i="11" s="1"/>
  <c r="B72" i="11"/>
  <c r="A72" i="11"/>
  <c r="Z71" i="11"/>
  <c r="AA71" i="11" s="1"/>
  <c r="X71" i="11"/>
  <c r="W71" i="11"/>
  <c r="Q71" i="11"/>
  <c r="R71" i="11" s="1"/>
  <c r="P71" i="11"/>
  <c r="S71" i="11" s="1"/>
  <c r="O71" i="11"/>
  <c r="L71" i="11"/>
  <c r="M71" i="11" s="1"/>
  <c r="J71" i="11"/>
  <c r="I71" i="11"/>
  <c r="C71" i="11"/>
  <c r="D71" i="11" s="1"/>
  <c r="B71" i="11"/>
  <c r="A71" i="11"/>
  <c r="Z70" i="11"/>
  <c r="AA70" i="11" s="1"/>
  <c r="X70" i="11"/>
  <c r="W70" i="11"/>
  <c r="Q70" i="11"/>
  <c r="R70" i="11" s="1"/>
  <c r="P70" i="11"/>
  <c r="S70" i="11" s="1"/>
  <c r="O70" i="11"/>
  <c r="L70" i="11"/>
  <c r="M70" i="11" s="1"/>
  <c r="J70" i="11"/>
  <c r="I70" i="11"/>
  <c r="C70" i="11"/>
  <c r="D70" i="11" s="1"/>
  <c r="B70" i="11"/>
  <c r="A70" i="11"/>
  <c r="Z69" i="11"/>
  <c r="AA69" i="11" s="1"/>
  <c r="X69" i="11"/>
  <c r="W69" i="11"/>
  <c r="Q69" i="11"/>
  <c r="R69" i="11" s="1"/>
  <c r="P69" i="11"/>
  <c r="S69" i="11" s="1"/>
  <c r="O69" i="11"/>
  <c r="L69" i="11"/>
  <c r="M69" i="11" s="1"/>
  <c r="J69" i="11"/>
  <c r="I69" i="11"/>
  <c r="C69" i="11"/>
  <c r="D69" i="11" s="1"/>
  <c r="B69" i="11"/>
  <c r="A69" i="11"/>
  <c r="Z68" i="11"/>
  <c r="AA68" i="11" s="1"/>
  <c r="X68" i="11"/>
  <c r="W68" i="11"/>
  <c r="Q68" i="11"/>
  <c r="R68" i="11" s="1"/>
  <c r="P68" i="11"/>
  <c r="S68" i="11" s="1"/>
  <c r="O68" i="11"/>
  <c r="L68" i="11"/>
  <c r="M68" i="11" s="1"/>
  <c r="J68" i="11"/>
  <c r="I68" i="11"/>
  <c r="C68" i="11"/>
  <c r="D68" i="11" s="1"/>
  <c r="B68" i="11"/>
  <c r="A68" i="11"/>
  <c r="Z67" i="11"/>
  <c r="AA67" i="11" s="1"/>
  <c r="X67" i="11"/>
  <c r="W67" i="11"/>
  <c r="Q67" i="11"/>
  <c r="R67" i="11" s="1"/>
  <c r="P67" i="11"/>
  <c r="S67" i="11" s="1"/>
  <c r="O67" i="11"/>
  <c r="L67" i="11"/>
  <c r="M67" i="11" s="1"/>
  <c r="J67" i="11"/>
  <c r="I67" i="11"/>
  <c r="C67" i="11"/>
  <c r="D67" i="11" s="1"/>
  <c r="B67" i="11"/>
  <c r="A67" i="11"/>
  <c r="Z66" i="11"/>
  <c r="AA66" i="11" s="1"/>
  <c r="X66" i="11"/>
  <c r="W66" i="11"/>
  <c r="Q66" i="11"/>
  <c r="R66" i="11" s="1"/>
  <c r="P66" i="11"/>
  <c r="S66" i="11" s="1"/>
  <c r="O66" i="11"/>
  <c r="L66" i="11"/>
  <c r="M66" i="11" s="1"/>
  <c r="J66" i="11"/>
  <c r="I66" i="11"/>
  <c r="C66" i="11"/>
  <c r="D66" i="11" s="1"/>
  <c r="B66" i="11"/>
  <c r="A66" i="11"/>
  <c r="Z65" i="11"/>
  <c r="AA65" i="11" s="1"/>
  <c r="X65" i="11"/>
  <c r="W65" i="11"/>
  <c r="Q65" i="11"/>
  <c r="R65" i="11" s="1"/>
  <c r="P65" i="11"/>
  <c r="S65" i="11" s="1"/>
  <c r="O65" i="11"/>
  <c r="L65" i="11"/>
  <c r="M65" i="11" s="1"/>
  <c r="J65" i="11"/>
  <c r="I65" i="11"/>
  <c r="C65" i="11"/>
  <c r="D65" i="11" s="1"/>
  <c r="B65" i="11"/>
  <c r="A65" i="11"/>
  <c r="Z64" i="11"/>
  <c r="AA64" i="11" s="1"/>
  <c r="X64" i="11"/>
  <c r="W64" i="11"/>
  <c r="Q64" i="11"/>
  <c r="R64" i="11" s="1"/>
  <c r="P64" i="11"/>
  <c r="S64" i="11" s="1"/>
  <c r="O64" i="11"/>
  <c r="L64" i="11"/>
  <c r="M64" i="11" s="1"/>
  <c r="J64" i="11"/>
  <c r="I64" i="11"/>
  <c r="C64" i="11"/>
  <c r="D64" i="11" s="1"/>
  <c r="B64" i="11"/>
  <c r="A64" i="11"/>
  <c r="Z63" i="11"/>
  <c r="AA63" i="11" s="1"/>
  <c r="X63" i="11"/>
  <c r="W63" i="11"/>
  <c r="Q63" i="11"/>
  <c r="R63" i="11" s="1"/>
  <c r="P63" i="11"/>
  <c r="S63" i="11" s="1"/>
  <c r="O63" i="11"/>
  <c r="L63" i="11"/>
  <c r="M63" i="11" s="1"/>
  <c r="J63" i="11"/>
  <c r="I63" i="11"/>
  <c r="C63" i="11"/>
  <c r="D63" i="11" s="1"/>
  <c r="B63" i="11"/>
  <c r="A63" i="11"/>
  <c r="Z62" i="11"/>
  <c r="AA62" i="11" s="1"/>
  <c r="X62" i="11"/>
  <c r="W62" i="11"/>
  <c r="Q62" i="11"/>
  <c r="R62" i="11" s="1"/>
  <c r="P62" i="11"/>
  <c r="S62" i="11" s="1"/>
  <c r="O62" i="11"/>
  <c r="L62" i="11"/>
  <c r="M62" i="11" s="1"/>
  <c r="J62" i="11"/>
  <c r="I62" i="11"/>
  <c r="C62" i="11"/>
  <c r="D62" i="11" s="1"/>
  <c r="B62" i="11"/>
  <c r="A62" i="11"/>
  <c r="Z61" i="11"/>
  <c r="AA61" i="11" s="1"/>
  <c r="X61" i="11"/>
  <c r="W61" i="11"/>
  <c r="Q61" i="11"/>
  <c r="R61" i="11" s="1"/>
  <c r="P61" i="11"/>
  <c r="S61" i="11" s="1"/>
  <c r="O61" i="11"/>
  <c r="L61" i="11"/>
  <c r="M61" i="11" s="1"/>
  <c r="J61" i="11"/>
  <c r="I61" i="11"/>
  <c r="C61" i="11"/>
  <c r="D61" i="11" s="1"/>
  <c r="B61" i="11"/>
  <c r="A61" i="11"/>
  <c r="Z60" i="11"/>
  <c r="AA60" i="11" s="1"/>
  <c r="X60" i="11"/>
  <c r="W60" i="11"/>
  <c r="Q60" i="11"/>
  <c r="R60" i="11" s="1"/>
  <c r="T60" i="11" s="1"/>
  <c r="P60" i="11"/>
  <c r="S60" i="11" s="1"/>
  <c r="O60" i="11"/>
  <c r="L60" i="11"/>
  <c r="M60" i="11" s="1"/>
  <c r="J60" i="11"/>
  <c r="I60" i="11"/>
  <c r="C60" i="11"/>
  <c r="D60" i="11" s="1"/>
  <c r="B60" i="11"/>
  <c r="A60" i="11"/>
  <c r="Z59" i="11"/>
  <c r="AA59" i="11" s="1"/>
  <c r="X59" i="11"/>
  <c r="W59" i="11"/>
  <c r="Q59" i="11"/>
  <c r="R59" i="11" s="1"/>
  <c r="P59" i="11"/>
  <c r="S59" i="11" s="1"/>
  <c r="O59" i="11"/>
  <c r="L59" i="11"/>
  <c r="M59" i="11" s="1"/>
  <c r="J59" i="11"/>
  <c r="I59" i="11"/>
  <c r="C59" i="11"/>
  <c r="D59" i="11" s="1"/>
  <c r="B59" i="11"/>
  <c r="A59" i="11"/>
  <c r="Z58" i="11"/>
  <c r="AA58" i="11" s="1"/>
  <c r="X58" i="11"/>
  <c r="W58" i="11"/>
  <c r="Q58" i="11"/>
  <c r="R58" i="11" s="1"/>
  <c r="P58" i="11"/>
  <c r="S58" i="11" s="1"/>
  <c r="O58" i="11"/>
  <c r="L58" i="11"/>
  <c r="M58" i="11" s="1"/>
  <c r="J58" i="11"/>
  <c r="I58" i="11"/>
  <c r="C58" i="11"/>
  <c r="D58" i="11" s="1"/>
  <c r="B58" i="11"/>
  <c r="A58" i="11"/>
  <c r="Z57" i="11"/>
  <c r="AA57" i="11" s="1"/>
  <c r="X57" i="11"/>
  <c r="W57" i="11"/>
  <c r="Q57" i="11"/>
  <c r="R57" i="11" s="1"/>
  <c r="T57" i="11" s="1"/>
  <c r="P57" i="11"/>
  <c r="S57" i="11" s="1"/>
  <c r="O57" i="11"/>
  <c r="L57" i="11"/>
  <c r="M57" i="11" s="1"/>
  <c r="J57" i="11"/>
  <c r="I57" i="11"/>
  <c r="C57" i="11"/>
  <c r="D57" i="11" s="1"/>
  <c r="B57" i="11"/>
  <c r="A57" i="11"/>
  <c r="Z56" i="11"/>
  <c r="AA56" i="11" s="1"/>
  <c r="X56" i="11"/>
  <c r="W56" i="11"/>
  <c r="Q56" i="11"/>
  <c r="R56" i="11" s="1"/>
  <c r="P56" i="11"/>
  <c r="S56" i="11" s="1"/>
  <c r="O56" i="11"/>
  <c r="L56" i="11"/>
  <c r="M56" i="11" s="1"/>
  <c r="J56" i="11"/>
  <c r="I56" i="11"/>
  <c r="C56" i="11"/>
  <c r="D56" i="11" s="1"/>
  <c r="B56" i="11"/>
  <c r="A56" i="11"/>
  <c r="Z55" i="11"/>
  <c r="AA55" i="11" s="1"/>
  <c r="X55" i="11"/>
  <c r="W55" i="11"/>
  <c r="Q55" i="11"/>
  <c r="R55" i="11" s="1"/>
  <c r="P55" i="11"/>
  <c r="S55" i="11" s="1"/>
  <c r="O55" i="11"/>
  <c r="L55" i="11"/>
  <c r="M55" i="11" s="1"/>
  <c r="J55" i="11"/>
  <c r="I55" i="11"/>
  <c r="C55" i="11"/>
  <c r="D55" i="11" s="1"/>
  <c r="B55" i="11"/>
  <c r="A55" i="11"/>
  <c r="Z54" i="11"/>
  <c r="AA54" i="11" s="1"/>
  <c r="X54" i="11"/>
  <c r="W54" i="11"/>
  <c r="Q54" i="11"/>
  <c r="R54" i="11" s="1"/>
  <c r="P54" i="11"/>
  <c r="S54" i="11" s="1"/>
  <c r="O54" i="11"/>
  <c r="L54" i="11"/>
  <c r="M54" i="11" s="1"/>
  <c r="J54" i="11"/>
  <c r="I54" i="11"/>
  <c r="C54" i="11"/>
  <c r="D54" i="11" s="1"/>
  <c r="B54" i="11"/>
  <c r="A54" i="11"/>
  <c r="Z53" i="11"/>
  <c r="AA53" i="11" s="1"/>
  <c r="X53" i="11"/>
  <c r="W53" i="11"/>
  <c r="Q53" i="11"/>
  <c r="R53" i="11" s="1"/>
  <c r="P53" i="11"/>
  <c r="S53" i="11" s="1"/>
  <c r="O53" i="11"/>
  <c r="L53" i="11"/>
  <c r="M53" i="11" s="1"/>
  <c r="J53" i="11"/>
  <c r="I53" i="11"/>
  <c r="C53" i="11"/>
  <c r="D53" i="11" s="1"/>
  <c r="B53" i="11"/>
  <c r="A53" i="11"/>
  <c r="Z52" i="11"/>
  <c r="AA52" i="11" s="1"/>
  <c r="X52" i="11"/>
  <c r="W52" i="11"/>
  <c r="Q52" i="11"/>
  <c r="R52" i="11" s="1"/>
  <c r="P52" i="11"/>
  <c r="S52" i="11" s="1"/>
  <c r="O52" i="11"/>
  <c r="L52" i="11"/>
  <c r="M52" i="11" s="1"/>
  <c r="J52" i="11"/>
  <c r="I52" i="11"/>
  <c r="C52" i="11"/>
  <c r="D52" i="11" s="1"/>
  <c r="B52" i="11"/>
  <c r="A52" i="11"/>
  <c r="Z51" i="11"/>
  <c r="AA51" i="11" s="1"/>
  <c r="X51" i="11"/>
  <c r="W51" i="11"/>
  <c r="Q51" i="11"/>
  <c r="R51" i="11" s="1"/>
  <c r="P51" i="11"/>
  <c r="S51" i="11" s="1"/>
  <c r="O51" i="11"/>
  <c r="L51" i="11"/>
  <c r="M51" i="11" s="1"/>
  <c r="J51" i="11"/>
  <c r="I51" i="11"/>
  <c r="C51" i="11"/>
  <c r="D51" i="11" s="1"/>
  <c r="B51" i="11"/>
  <c r="A51" i="11"/>
  <c r="Z50" i="11"/>
  <c r="AA50" i="11" s="1"/>
  <c r="X50" i="11"/>
  <c r="W50" i="11"/>
  <c r="Q50" i="11"/>
  <c r="R50" i="11" s="1"/>
  <c r="T50" i="11" s="1"/>
  <c r="P50" i="11"/>
  <c r="S50" i="11" s="1"/>
  <c r="O50" i="11"/>
  <c r="L50" i="11"/>
  <c r="M50" i="11" s="1"/>
  <c r="J50" i="11"/>
  <c r="I50" i="11"/>
  <c r="C50" i="11"/>
  <c r="D50" i="11" s="1"/>
  <c r="B50" i="11"/>
  <c r="A50" i="11"/>
  <c r="Z49" i="11"/>
  <c r="AA49" i="11" s="1"/>
  <c r="X49" i="11"/>
  <c r="W49" i="11"/>
  <c r="Q49" i="11"/>
  <c r="R49" i="11" s="1"/>
  <c r="P49" i="11"/>
  <c r="S49" i="11" s="1"/>
  <c r="O49" i="11"/>
  <c r="L49" i="11"/>
  <c r="M49" i="11" s="1"/>
  <c r="J49" i="11"/>
  <c r="I49" i="11"/>
  <c r="C49" i="11"/>
  <c r="D49" i="11" s="1"/>
  <c r="B49" i="11"/>
  <c r="A49" i="11"/>
  <c r="Z48" i="11"/>
  <c r="AA48" i="11" s="1"/>
  <c r="X48" i="11"/>
  <c r="W48" i="11"/>
  <c r="Q48" i="11"/>
  <c r="R48" i="11" s="1"/>
  <c r="P48" i="11"/>
  <c r="S48" i="11" s="1"/>
  <c r="O48" i="11"/>
  <c r="L48" i="11"/>
  <c r="M48" i="11" s="1"/>
  <c r="J48" i="11"/>
  <c r="I48" i="11"/>
  <c r="C48" i="11"/>
  <c r="D48" i="11" s="1"/>
  <c r="B48" i="11"/>
  <c r="A48" i="11"/>
  <c r="Z47" i="11"/>
  <c r="AA47" i="11" s="1"/>
  <c r="X47" i="11"/>
  <c r="W47" i="11"/>
  <c r="Q47" i="11"/>
  <c r="R47" i="11" s="1"/>
  <c r="P47" i="11"/>
  <c r="S47" i="11" s="1"/>
  <c r="O47" i="11"/>
  <c r="L47" i="11"/>
  <c r="M47" i="11" s="1"/>
  <c r="J47" i="11"/>
  <c r="I47" i="11"/>
  <c r="C47" i="11"/>
  <c r="D47" i="11" s="1"/>
  <c r="B47" i="11"/>
  <c r="A47" i="11"/>
  <c r="Z46" i="11"/>
  <c r="AA46" i="11" s="1"/>
  <c r="X46" i="11"/>
  <c r="W46" i="11"/>
  <c r="Q46" i="11"/>
  <c r="R46" i="11" s="1"/>
  <c r="P46" i="11"/>
  <c r="S46" i="11" s="1"/>
  <c r="O46" i="11"/>
  <c r="L46" i="11"/>
  <c r="M46" i="11" s="1"/>
  <c r="J46" i="11"/>
  <c r="I46" i="11"/>
  <c r="C46" i="11"/>
  <c r="D46" i="11" s="1"/>
  <c r="B46" i="11"/>
  <c r="A46" i="11"/>
  <c r="Z45" i="11"/>
  <c r="AA45" i="11" s="1"/>
  <c r="X45" i="11"/>
  <c r="W45" i="11"/>
  <c r="Q45" i="11"/>
  <c r="R45" i="11" s="1"/>
  <c r="P45" i="11"/>
  <c r="S45" i="11" s="1"/>
  <c r="O45" i="11"/>
  <c r="L45" i="11"/>
  <c r="M45" i="11" s="1"/>
  <c r="J45" i="11"/>
  <c r="I45" i="11"/>
  <c r="C45" i="11"/>
  <c r="D45" i="11" s="1"/>
  <c r="B45" i="11"/>
  <c r="A45" i="11"/>
  <c r="Z44" i="11"/>
  <c r="AA44" i="11" s="1"/>
  <c r="X44" i="11"/>
  <c r="W44" i="11"/>
  <c r="Q44" i="11"/>
  <c r="R44" i="11" s="1"/>
  <c r="P44" i="11"/>
  <c r="S44" i="11" s="1"/>
  <c r="O44" i="11"/>
  <c r="L44" i="11"/>
  <c r="M44" i="11" s="1"/>
  <c r="J44" i="11"/>
  <c r="I44" i="11"/>
  <c r="C44" i="11"/>
  <c r="D44" i="11" s="1"/>
  <c r="B44" i="11"/>
  <c r="A44" i="11"/>
  <c r="Z43" i="11"/>
  <c r="AA43" i="11" s="1"/>
  <c r="X43" i="11"/>
  <c r="W43" i="11"/>
  <c r="Q43" i="11"/>
  <c r="R43" i="11" s="1"/>
  <c r="P43" i="11"/>
  <c r="S43" i="11" s="1"/>
  <c r="O43" i="11"/>
  <c r="L43" i="11"/>
  <c r="M43" i="11" s="1"/>
  <c r="J43" i="11"/>
  <c r="I43" i="11"/>
  <c r="C43" i="11"/>
  <c r="D43" i="11" s="1"/>
  <c r="B43" i="11"/>
  <c r="A43" i="11"/>
  <c r="Z42" i="11"/>
  <c r="AA42" i="11" s="1"/>
  <c r="X42" i="11"/>
  <c r="W42" i="11"/>
  <c r="Q42" i="11"/>
  <c r="R42" i="11" s="1"/>
  <c r="P42" i="11"/>
  <c r="S42" i="11" s="1"/>
  <c r="O42" i="11"/>
  <c r="L42" i="11"/>
  <c r="M42" i="11" s="1"/>
  <c r="J42" i="11"/>
  <c r="I42" i="11"/>
  <c r="C42" i="11"/>
  <c r="D42" i="11" s="1"/>
  <c r="B42" i="11"/>
  <c r="A42" i="11"/>
  <c r="Z41" i="11"/>
  <c r="AA41" i="11" s="1"/>
  <c r="X41" i="11"/>
  <c r="W41" i="11"/>
  <c r="Q41" i="11"/>
  <c r="R41" i="11" s="1"/>
  <c r="P41" i="11"/>
  <c r="S41" i="11" s="1"/>
  <c r="O41" i="11"/>
  <c r="L41" i="11"/>
  <c r="M41" i="11" s="1"/>
  <c r="J41" i="11"/>
  <c r="I41" i="11"/>
  <c r="C41" i="11"/>
  <c r="D41" i="11" s="1"/>
  <c r="B41" i="11"/>
  <c r="A41" i="11"/>
  <c r="Z40" i="11"/>
  <c r="AA40" i="11" s="1"/>
  <c r="X40" i="11"/>
  <c r="W40" i="11"/>
  <c r="Q40" i="11"/>
  <c r="R40" i="11" s="1"/>
  <c r="P40" i="11"/>
  <c r="S40" i="11" s="1"/>
  <c r="O40" i="11"/>
  <c r="L40" i="11"/>
  <c r="M40" i="11" s="1"/>
  <c r="J40" i="11"/>
  <c r="I40" i="11"/>
  <c r="C40" i="11"/>
  <c r="D40" i="11" s="1"/>
  <c r="B40" i="11"/>
  <c r="A40" i="11"/>
  <c r="Z39" i="11"/>
  <c r="AA39" i="11" s="1"/>
  <c r="X39" i="11"/>
  <c r="W39" i="11"/>
  <c r="Q39" i="11"/>
  <c r="R39" i="11" s="1"/>
  <c r="P39" i="11"/>
  <c r="S39" i="11" s="1"/>
  <c r="O39" i="11"/>
  <c r="L39" i="11"/>
  <c r="M39" i="11" s="1"/>
  <c r="J39" i="11"/>
  <c r="I39" i="11"/>
  <c r="C39" i="11"/>
  <c r="D39" i="11" s="1"/>
  <c r="B39" i="11"/>
  <c r="A39" i="11"/>
  <c r="Z38" i="11"/>
  <c r="AA38" i="11" s="1"/>
  <c r="X38" i="11"/>
  <c r="W38" i="11"/>
  <c r="Q38" i="11"/>
  <c r="R38" i="11" s="1"/>
  <c r="T38" i="11" s="1"/>
  <c r="P38" i="11"/>
  <c r="S38" i="11" s="1"/>
  <c r="O38" i="11"/>
  <c r="L38" i="11"/>
  <c r="M38" i="11" s="1"/>
  <c r="J38" i="11"/>
  <c r="I38" i="11"/>
  <c r="C38" i="11"/>
  <c r="D38" i="11" s="1"/>
  <c r="B38" i="11"/>
  <c r="A38" i="11"/>
  <c r="Z37" i="11"/>
  <c r="AA37" i="11" s="1"/>
  <c r="X37" i="11"/>
  <c r="W37" i="11"/>
  <c r="R37" i="11"/>
  <c r="Q37" i="11"/>
  <c r="P37" i="11"/>
  <c r="S37" i="11" s="1"/>
  <c r="O37" i="11"/>
  <c r="L37" i="11"/>
  <c r="M37" i="11" s="1"/>
  <c r="J37" i="11"/>
  <c r="I37" i="11"/>
  <c r="C37" i="11"/>
  <c r="D37" i="11" s="1"/>
  <c r="B37" i="11"/>
  <c r="A37" i="11"/>
  <c r="Z36" i="11"/>
  <c r="AA36" i="11" s="1"/>
  <c r="X36" i="11"/>
  <c r="W36" i="11"/>
  <c r="Q36" i="11"/>
  <c r="R36" i="11" s="1"/>
  <c r="P36" i="11"/>
  <c r="S36" i="11" s="1"/>
  <c r="O36" i="11"/>
  <c r="L36" i="11"/>
  <c r="M36" i="11" s="1"/>
  <c r="J36" i="11"/>
  <c r="I36" i="11"/>
  <c r="C36" i="11"/>
  <c r="D36" i="11" s="1"/>
  <c r="B36" i="11"/>
  <c r="A36" i="11"/>
  <c r="Z35" i="11"/>
  <c r="AA35" i="11" s="1"/>
  <c r="X35" i="11"/>
  <c r="W35" i="11"/>
  <c r="Q35" i="11"/>
  <c r="R35" i="11" s="1"/>
  <c r="P35" i="11"/>
  <c r="S35" i="11" s="1"/>
  <c r="O35" i="11"/>
  <c r="L35" i="11"/>
  <c r="M35" i="11" s="1"/>
  <c r="J35" i="11"/>
  <c r="I35" i="11"/>
  <c r="C35" i="11"/>
  <c r="D35" i="11" s="1"/>
  <c r="B35" i="11"/>
  <c r="A35" i="11"/>
  <c r="Z34" i="11"/>
  <c r="AA34" i="11" s="1"/>
  <c r="X34" i="11"/>
  <c r="W34" i="11"/>
  <c r="Q34" i="11"/>
  <c r="R34" i="11" s="1"/>
  <c r="T34" i="11" s="1"/>
  <c r="P34" i="11"/>
  <c r="S34" i="11" s="1"/>
  <c r="O34" i="11"/>
  <c r="L34" i="11"/>
  <c r="M34" i="11" s="1"/>
  <c r="J34" i="11"/>
  <c r="I34" i="11"/>
  <c r="C34" i="11"/>
  <c r="D34" i="11" s="1"/>
  <c r="B34" i="11"/>
  <c r="A34" i="11"/>
  <c r="Z33" i="11"/>
  <c r="AA33" i="11" s="1"/>
  <c r="X33" i="11"/>
  <c r="W33" i="11"/>
  <c r="Q33" i="11"/>
  <c r="R33" i="11" s="1"/>
  <c r="P33" i="11"/>
  <c r="S33" i="11" s="1"/>
  <c r="O33" i="11"/>
  <c r="L33" i="11"/>
  <c r="M33" i="11" s="1"/>
  <c r="J33" i="11"/>
  <c r="I33" i="11"/>
  <c r="C33" i="11"/>
  <c r="D33" i="11" s="1"/>
  <c r="B33" i="11"/>
  <c r="A33" i="11"/>
  <c r="Z32" i="11"/>
  <c r="AA32" i="11" s="1"/>
  <c r="X32" i="11"/>
  <c r="W32" i="11"/>
  <c r="Q32" i="11"/>
  <c r="R32" i="11" s="1"/>
  <c r="P32" i="11"/>
  <c r="O32" i="11"/>
  <c r="L32" i="11"/>
  <c r="M32" i="11" s="1"/>
  <c r="J32" i="11"/>
  <c r="I32" i="11"/>
  <c r="C32" i="11"/>
  <c r="D32" i="11" s="1"/>
  <c r="B32" i="11"/>
  <c r="A32" i="11"/>
  <c r="Z31" i="11"/>
  <c r="AA31" i="11" s="1"/>
  <c r="X31" i="11"/>
  <c r="W31" i="11"/>
  <c r="Q31" i="11"/>
  <c r="R31" i="11" s="1"/>
  <c r="P31" i="11"/>
  <c r="O31" i="11"/>
  <c r="L31" i="11"/>
  <c r="M31" i="11" s="1"/>
  <c r="J31" i="11"/>
  <c r="I31" i="11"/>
  <c r="C31" i="11"/>
  <c r="D31" i="11" s="1"/>
  <c r="B31" i="11"/>
  <c r="A31" i="11"/>
  <c r="Z30" i="11"/>
  <c r="AA30" i="11" s="1"/>
  <c r="X30" i="11"/>
  <c r="W30" i="11"/>
  <c r="Q30" i="11"/>
  <c r="R30" i="11" s="1"/>
  <c r="P30" i="11"/>
  <c r="O30" i="11"/>
  <c r="L30" i="11"/>
  <c r="M30" i="11" s="1"/>
  <c r="J30" i="11"/>
  <c r="I30" i="11"/>
  <c r="C30" i="11"/>
  <c r="D30" i="11" s="1"/>
  <c r="B30" i="11"/>
  <c r="A30" i="11"/>
  <c r="Z29" i="11"/>
  <c r="AA29" i="11" s="1"/>
  <c r="X29" i="11"/>
  <c r="W29" i="11"/>
  <c r="Q29" i="11"/>
  <c r="R29" i="11" s="1"/>
  <c r="P29" i="11"/>
  <c r="O29" i="11"/>
  <c r="L29" i="11"/>
  <c r="M29" i="11" s="1"/>
  <c r="J29" i="11"/>
  <c r="I29" i="11"/>
  <c r="C29" i="11"/>
  <c r="D29" i="11" s="1"/>
  <c r="B29" i="11"/>
  <c r="A29" i="11"/>
  <c r="Z28" i="11"/>
  <c r="AA28" i="11" s="1"/>
  <c r="X28" i="11"/>
  <c r="W28" i="11"/>
  <c r="Q28" i="11"/>
  <c r="R28" i="11" s="1"/>
  <c r="P28" i="11"/>
  <c r="O28" i="11"/>
  <c r="L28" i="11"/>
  <c r="M28" i="11" s="1"/>
  <c r="J28" i="11"/>
  <c r="I28" i="11"/>
  <c r="C28" i="11"/>
  <c r="D28" i="11" s="1"/>
  <c r="B28" i="11"/>
  <c r="A28" i="11"/>
  <c r="Z27" i="11"/>
  <c r="AA27" i="11" s="1"/>
  <c r="X27" i="11"/>
  <c r="W27" i="11"/>
  <c r="Q27" i="11"/>
  <c r="R27" i="11" s="1"/>
  <c r="P27" i="11"/>
  <c r="O27" i="11"/>
  <c r="L27" i="11"/>
  <c r="M27" i="11" s="1"/>
  <c r="J27" i="11"/>
  <c r="I27" i="11"/>
  <c r="C27" i="11"/>
  <c r="D27" i="11" s="1"/>
  <c r="B27" i="11"/>
  <c r="A27" i="11"/>
  <c r="Z26" i="11"/>
  <c r="AA26" i="11" s="1"/>
  <c r="X26" i="11"/>
  <c r="W26" i="11"/>
  <c r="Q26" i="11"/>
  <c r="R26" i="11" s="1"/>
  <c r="P26" i="11"/>
  <c r="O26" i="11"/>
  <c r="L26" i="11"/>
  <c r="M26" i="11" s="1"/>
  <c r="J26" i="11"/>
  <c r="I26" i="11"/>
  <c r="C26" i="11"/>
  <c r="D26" i="11" s="1"/>
  <c r="B26" i="11"/>
  <c r="A26" i="11"/>
  <c r="Z25" i="11"/>
  <c r="AA25" i="11" s="1"/>
  <c r="X25" i="11"/>
  <c r="W25" i="11"/>
  <c r="Q25" i="11"/>
  <c r="R25" i="11" s="1"/>
  <c r="T25" i="11" s="1"/>
  <c r="P25" i="11"/>
  <c r="S25" i="11" s="1"/>
  <c r="O25" i="11"/>
  <c r="L25" i="11"/>
  <c r="M25" i="11" s="1"/>
  <c r="J25" i="11"/>
  <c r="I25" i="11"/>
  <c r="C25" i="11"/>
  <c r="D25" i="11" s="1"/>
  <c r="B25" i="11"/>
  <c r="A25" i="11"/>
  <c r="Z24" i="11"/>
  <c r="AA24" i="11" s="1"/>
  <c r="X24" i="11"/>
  <c r="W24" i="11"/>
  <c r="Q24" i="11"/>
  <c r="R24" i="11" s="1"/>
  <c r="P24" i="11"/>
  <c r="S24" i="11" s="1"/>
  <c r="O24" i="11"/>
  <c r="L24" i="11"/>
  <c r="M24" i="11" s="1"/>
  <c r="J24" i="11"/>
  <c r="I24" i="11"/>
  <c r="C24" i="11"/>
  <c r="D24" i="11" s="1"/>
  <c r="B24" i="11"/>
  <c r="A24" i="11"/>
  <c r="Z23" i="11"/>
  <c r="AA23" i="11" s="1"/>
  <c r="X23" i="11"/>
  <c r="W23" i="11"/>
  <c r="Q23" i="11"/>
  <c r="R23" i="11" s="1"/>
  <c r="P23" i="11"/>
  <c r="S23" i="11" s="1"/>
  <c r="O23" i="11"/>
  <c r="L23" i="11"/>
  <c r="M23" i="11" s="1"/>
  <c r="J23" i="11"/>
  <c r="I23" i="11"/>
  <c r="C23" i="11"/>
  <c r="D23" i="11" s="1"/>
  <c r="B23" i="11"/>
  <c r="A23" i="11"/>
  <c r="Z22" i="11"/>
  <c r="AA22" i="11" s="1"/>
  <c r="X22" i="11"/>
  <c r="W22" i="11"/>
  <c r="Q22" i="11"/>
  <c r="R22" i="11" s="1"/>
  <c r="P22" i="11"/>
  <c r="S22" i="11" s="1"/>
  <c r="O22" i="11"/>
  <c r="L22" i="11"/>
  <c r="M22" i="11" s="1"/>
  <c r="J22" i="11"/>
  <c r="I22" i="11"/>
  <c r="C22" i="11"/>
  <c r="D22" i="11" s="1"/>
  <c r="B22" i="11"/>
  <c r="A22" i="11"/>
  <c r="Z21" i="11"/>
  <c r="AA21" i="11" s="1"/>
  <c r="X21" i="11"/>
  <c r="W21" i="11"/>
  <c r="Q21" i="11"/>
  <c r="R21" i="11" s="1"/>
  <c r="P21" i="11"/>
  <c r="S21" i="11" s="1"/>
  <c r="O21" i="11"/>
  <c r="L21" i="11"/>
  <c r="M21" i="11" s="1"/>
  <c r="J21" i="11"/>
  <c r="I21" i="11"/>
  <c r="C21" i="11"/>
  <c r="D21" i="11" s="1"/>
  <c r="B21" i="11"/>
  <c r="A21" i="11"/>
  <c r="Z20" i="11"/>
  <c r="AA20" i="11" s="1"/>
  <c r="X20" i="11"/>
  <c r="W20" i="11"/>
  <c r="Q20" i="11"/>
  <c r="R20" i="11" s="1"/>
  <c r="P20" i="11"/>
  <c r="S20" i="11" s="1"/>
  <c r="O20" i="11"/>
  <c r="L20" i="11"/>
  <c r="M20" i="11" s="1"/>
  <c r="J20" i="11"/>
  <c r="I20" i="11"/>
  <c r="C20" i="11"/>
  <c r="D20" i="11" s="1"/>
  <c r="B20" i="11"/>
  <c r="A20" i="11"/>
  <c r="Z19" i="11"/>
  <c r="AA19" i="11" s="1"/>
  <c r="X19" i="11"/>
  <c r="W19" i="11"/>
  <c r="Q19" i="11"/>
  <c r="R19" i="11" s="1"/>
  <c r="P19" i="11"/>
  <c r="S19" i="11" s="1"/>
  <c r="O19" i="11"/>
  <c r="L19" i="11"/>
  <c r="M19" i="11" s="1"/>
  <c r="J19" i="11"/>
  <c r="I19" i="11"/>
  <c r="C19" i="11"/>
  <c r="D19" i="11" s="1"/>
  <c r="B19" i="11"/>
  <c r="A19" i="11"/>
  <c r="Z18" i="11"/>
  <c r="AA18" i="11" s="1"/>
  <c r="X18" i="11"/>
  <c r="W18" i="11"/>
  <c r="Q18" i="11"/>
  <c r="R18" i="11" s="1"/>
  <c r="P18" i="11"/>
  <c r="S18" i="11" s="1"/>
  <c r="O18" i="11"/>
  <c r="L18" i="11"/>
  <c r="M18" i="11" s="1"/>
  <c r="J18" i="11"/>
  <c r="I18" i="11"/>
  <c r="C18" i="11"/>
  <c r="D18" i="11" s="1"/>
  <c r="B18" i="11"/>
  <c r="A18" i="11"/>
  <c r="Z17" i="11"/>
  <c r="AA17" i="11" s="1"/>
  <c r="X17" i="11"/>
  <c r="W17" i="11"/>
  <c r="Q17" i="11"/>
  <c r="R17" i="11" s="1"/>
  <c r="P17" i="11"/>
  <c r="S17" i="11" s="1"/>
  <c r="O17" i="11"/>
  <c r="L17" i="11"/>
  <c r="M17" i="11" s="1"/>
  <c r="J17" i="11"/>
  <c r="I17" i="11"/>
  <c r="C17" i="11"/>
  <c r="D17" i="11" s="1"/>
  <c r="B17" i="11"/>
  <c r="A17" i="11"/>
  <c r="Z16" i="11"/>
  <c r="AA16" i="11" s="1"/>
  <c r="X16" i="11"/>
  <c r="W16" i="11"/>
  <c r="Q16" i="11"/>
  <c r="R16" i="11" s="1"/>
  <c r="P16" i="11"/>
  <c r="S16" i="11" s="1"/>
  <c r="O16" i="11"/>
  <c r="L16" i="11"/>
  <c r="M16" i="11" s="1"/>
  <c r="J16" i="11"/>
  <c r="I16" i="11"/>
  <c r="C16" i="11"/>
  <c r="D16" i="11" s="1"/>
  <c r="B16" i="11"/>
  <c r="A16" i="11"/>
  <c r="Z15" i="11"/>
  <c r="AA15" i="11" s="1"/>
  <c r="X15" i="11"/>
  <c r="W15" i="11"/>
  <c r="Q15" i="11"/>
  <c r="R15" i="11" s="1"/>
  <c r="P15" i="11"/>
  <c r="S15" i="11" s="1"/>
  <c r="O15" i="11"/>
  <c r="L15" i="11"/>
  <c r="M15" i="11" s="1"/>
  <c r="J15" i="11"/>
  <c r="I15" i="11"/>
  <c r="C15" i="11"/>
  <c r="D15" i="11" s="1"/>
  <c r="B15" i="11"/>
  <c r="A15" i="11"/>
  <c r="Z14" i="11"/>
  <c r="AA14" i="11" s="1"/>
  <c r="X14" i="11"/>
  <c r="W14" i="11"/>
  <c r="Q14" i="11"/>
  <c r="R14" i="11" s="1"/>
  <c r="P14" i="11"/>
  <c r="S14" i="11" s="1"/>
  <c r="O14" i="11"/>
  <c r="J14" i="11"/>
  <c r="I14" i="11"/>
  <c r="C14" i="11"/>
  <c r="D14" i="11" s="1"/>
  <c r="B14" i="11"/>
  <c r="A14" i="11"/>
  <c r="Z13" i="11"/>
  <c r="AA13" i="11" s="1"/>
  <c r="X13" i="11"/>
  <c r="W13" i="11"/>
  <c r="Q13" i="11"/>
  <c r="R13" i="11" s="1"/>
  <c r="P13" i="11"/>
  <c r="S13" i="11" s="1"/>
  <c r="O13" i="11"/>
  <c r="L13" i="11"/>
  <c r="M13" i="11" s="1"/>
  <c r="J13" i="11"/>
  <c r="I13" i="11"/>
  <c r="C13" i="11"/>
  <c r="D13" i="11" s="1"/>
  <c r="B13" i="11"/>
  <c r="A13" i="11"/>
  <c r="Z12" i="11"/>
  <c r="AA12" i="11" s="1"/>
  <c r="X12" i="11"/>
  <c r="W12" i="11"/>
  <c r="Q12" i="11"/>
  <c r="R12" i="11" s="1"/>
  <c r="P12" i="11"/>
  <c r="S12" i="11" s="1"/>
  <c r="O12" i="11"/>
  <c r="L12" i="11"/>
  <c r="M12" i="11" s="1"/>
  <c r="J12" i="11"/>
  <c r="I12" i="11"/>
  <c r="C12" i="11"/>
  <c r="D12" i="11" s="1"/>
  <c r="B12" i="11"/>
  <c r="A12" i="11"/>
  <c r="Z11" i="11"/>
  <c r="AA11" i="11" s="1"/>
  <c r="X11" i="11"/>
  <c r="W11" i="11"/>
  <c r="Q11" i="11"/>
  <c r="R11" i="11" s="1"/>
  <c r="P11" i="11"/>
  <c r="S11" i="11" s="1"/>
  <c r="O11" i="11"/>
  <c r="L11" i="11"/>
  <c r="M11" i="11" s="1"/>
  <c r="J11" i="11"/>
  <c r="I11" i="11"/>
  <c r="C11" i="11"/>
  <c r="D11" i="11" s="1"/>
  <c r="B11" i="11"/>
  <c r="A11" i="11"/>
  <c r="C31" i="9"/>
  <c r="D31" i="9" s="1"/>
  <c r="B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C148" i="8"/>
  <c r="D148" i="8" s="1"/>
  <c r="B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D3" i="8"/>
  <c r="D2" i="8"/>
  <c r="C150" i="7"/>
  <c r="D150" i="7" s="1"/>
  <c r="B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D148" i="6"/>
  <c r="F147" i="6"/>
  <c r="E147" i="6"/>
  <c r="D147" i="6"/>
  <c r="G147" i="6" s="1"/>
  <c r="F146" i="6"/>
  <c r="E146" i="6"/>
  <c r="D146" i="6"/>
  <c r="G146" i="6" s="1"/>
  <c r="F145" i="6"/>
  <c r="E145" i="6"/>
  <c r="D145" i="6"/>
  <c r="G145" i="6" s="1"/>
  <c r="F144" i="6"/>
  <c r="E144" i="6"/>
  <c r="D144" i="6"/>
  <c r="G144" i="6" s="1"/>
  <c r="F143" i="6"/>
  <c r="E143" i="6"/>
  <c r="D143" i="6"/>
  <c r="G143" i="6" s="1"/>
  <c r="F142" i="6"/>
  <c r="E142" i="6"/>
  <c r="D142" i="6"/>
  <c r="G142" i="6" s="1"/>
  <c r="F141" i="6"/>
  <c r="E141" i="6"/>
  <c r="D141" i="6"/>
  <c r="G141" i="6" s="1"/>
  <c r="F140" i="6"/>
  <c r="E140" i="6"/>
  <c r="D140" i="6"/>
  <c r="G140" i="6" s="1"/>
  <c r="F139" i="6"/>
  <c r="E139" i="6"/>
  <c r="D139" i="6"/>
  <c r="G139" i="6" s="1"/>
  <c r="F138" i="6"/>
  <c r="E138" i="6"/>
  <c r="D138" i="6"/>
  <c r="G138" i="6" s="1"/>
  <c r="F137" i="6"/>
  <c r="E137" i="6"/>
  <c r="D137" i="6"/>
  <c r="G137" i="6" s="1"/>
  <c r="F136" i="6"/>
  <c r="E136" i="6"/>
  <c r="D136" i="6"/>
  <c r="G136" i="6" s="1"/>
  <c r="F135" i="6"/>
  <c r="E135" i="6"/>
  <c r="D135" i="6"/>
  <c r="G135" i="6" s="1"/>
  <c r="F134" i="6"/>
  <c r="E134" i="6"/>
  <c r="D134" i="6"/>
  <c r="G134" i="6" s="1"/>
  <c r="F133" i="6"/>
  <c r="E133" i="6"/>
  <c r="D133" i="6"/>
  <c r="G133" i="6" s="1"/>
  <c r="F132" i="6"/>
  <c r="E132" i="6"/>
  <c r="D132" i="6"/>
  <c r="G132" i="6" s="1"/>
  <c r="F131" i="6"/>
  <c r="E131" i="6"/>
  <c r="D131" i="6"/>
  <c r="G131" i="6" s="1"/>
  <c r="F130" i="6"/>
  <c r="E130" i="6"/>
  <c r="D130" i="6"/>
  <c r="G130" i="6" s="1"/>
  <c r="F129" i="6"/>
  <c r="E129" i="6"/>
  <c r="D129" i="6"/>
  <c r="G129" i="6" s="1"/>
  <c r="F128" i="6"/>
  <c r="E128" i="6"/>
  <c r="D128" i="6"/>
  <c r="G128" i="6" s="1"/>
  <c r="F127" i="6"/>
  <c r="E127" i="6"/>
  <c r="D127" i="6"/>
  <c r="G127" i="6" s="1"/>
  <c r="F126" i="6"/>
  <c r="E126" i="6"/>
  <c r="D126" i="6"/>
  <c r="G126" i="6" s="1"/>
  <c r="F125" i="6"/>
  <c r="E125" i="6"/>
  <c r="D125" i="6"/>
  <c r="G125" i="6" s="1"/>
  <c r="F124" i="6"/>
  <c r="E124" i="6"/>
  <c r="D124" i="6"/>
  <c r="G124" i="6" s="1"/>
  <c r="F123" i="6"/>
  <c r="E123" i="6"/>
  <c r="D123" i="6"/>
  <c r="G123" i="6" s="1"/>
  <c r="F122" i="6"/>
  <c r="E122" i="6"/>
  <c r="D122" i="6"/>
  <c r="G122" i="6" s="1"/>
  <c r="F121" i="6"/>
  <c r="E121" i="6"/>
  <c r="D121" i="6"/>
  <c r="G121" i="6" s="1"/>
  <c r="F120" i="6"/>
  <c r="E120" i="6"/>
  <c r="D120" i="6"/>
  <c r="G120" i="6" s="1"/>
  <c r="F119" i="6"/>
  <c r="E119" i="6"/>
  <c r="D119" i="6"/>
  <c r="G119" i="6" s="1"/>
  <c r="F118" i="6"/>
  <c r="E118" i="6"/>
  <c r="D118" i="6"/>
  <c r="G118" i="6" s="1"/>
  <c r="F117" i="6"/>
  <c r="E117" i="6"/>
  <c r="D117" i="6"/>
  <c r="G117" i="6" s="1"/>
  <c r="F116" i="6"/>
  <c r="E116" i="6"/>
  <c r="D116" i="6"/>
  <c r="G116" i="6" s="1"/>
  <c r="F115" i="6"/>
  <c r="E115" i="6"/>
  <c r="D115" i="6"/>
  <c r="G115" i="6" s="1"/>
  <c r="F114" i="6"/>
  <c r="E114" i="6"/>
  <c r="D114" i="6"/>
  <c r="G114" i="6" s="1"/>
  <c r="F113" i="6"/>
  <c r="E113" i="6"/>
  <c r="D113" i="6"/>
  <c r="G113" i="6" s="1"/>
  <c r="F112" i="6"/>
  <c r="E112" i="6"/>
  <c r="D112" i="6"/>
  <c r="G112" i="6" s="1"/>
  <c r="F111" i="6"/>
  <c r="E111" i="6"/>
  <c r="D111" i="6"/>
  <c r="G111" i="6" s="1"/>
  <c r="F110" i="6"/>
  <c r="E110" i="6"/>
  <c r="D110" i="6"/>
  <c r="G110" i="6" s="1"/>
  <c r="F109" i="6"/>
  <c r="E109" i="6"/>
  <c r="D109" i="6"/>
  <c r="G109" i="6" s="1"/>
  <c r="F108" i="6"/>
  <c r="E108" i="6"/>
  <c r="D108" i="6"/>
  <c r="G108" i="6" s="1"/>
  <c r="F107" i="6"/>
  <c r="E107" i="6"/>
  <c r="D107" i="6"/>
  <c r="G107" i="6" s="1"/>
  <c r="F106" i="6"/>
  <c r="E106" i="6"/>
  <c r="D106" i="6"/>
  <c r="G106" i="6" s="1"/>
  <c r="F105" i="6"/>
  <c r="E105" i="6"/>
  <c r="D105" i="6"/>
  <c r="G105" i="6" s="1"/>
  <c r="F104" i="6"/>
  <c r="E104" i="6"/>
  <c r="D104" i="6"/>
  <c r="G104" i="6" s="1"/>
  <c r="F103" i="6"/>
  <c r="E103" i="6"/>
  <c r="D103" i="6"/>
  <c r="G103" i="6" s="1"/>
  <c r="F102" i="6"/>
  <c r="E102" i="6"/>
  <c r="D102" i="6"/>
  <c r="G102" i="6" s="1"/>
  <c r="F101" i="6"/>
  <c r="E101" i="6"/>
  <c r="D101" i="6"/>
  <c r="G101" i="6" s="1"/>
  <c r="F100" i="6"/>
  <c r="E100" i="6"/>
  <c r="D100" i="6"/>
  <c r="G100" i="6" s="1"/>
  <c r="F99" i="6"/>
  <c r="E99" i="6"/>
  <c r="D99" i="6"/>
  <c r="G99" i="6" s="1"/>
  <c r="F98" i="6"/>
  <c r="E98" i="6"/>
  <c r="D98" i="6"/>
  <c r="G98" i="6" s="1"/>
  <c r="F97" i="6"/>
  <c r="E97" i="6"/>
  <c r="D97" i="6"/>
  <c r="G97" i="6" s="1"/>
  <c r="F96" i="6"/>
  <c r="E96" i="6"/>
  <c r="D96" i="6"/>
  <c r="G96" i="6" s="1"/>
  <c r="F95" i="6"/>
  <c r="E95" i="6"/>
  <c r="D95" i="6"/>
  <c r="G95" i="6" s="1"/>
  <c r="F94" i="6"/>
  <c r="E94" i="6"/>
  <c r="D94" i="6"/>
  <c r="G94" i="6" s="1"/>
  <c r="F93" i="6"/>
  <c r="E93" i="6"/>
  <c r="D93" i="6"/>
  <c r="G93" i="6" s="1"/>
  <c r="F92" i="6"/>
  <c r="E92" i="6"/>
  <c r="D92" i="6"/>
  <c r="G92" i="6" s="1"/>
  <c r="F91" i="6"/>
  <c r="E91" i="6"/>
  <c r="D91" i="6"/>
  <c r="G91" i="6" s="1"/>
  <c r="F90" i="6"/>
  <c r="E90" i="6"/>
  <c r="D90" i="6"/>
  <c r="G90" i="6" s="1"/>
  <c r="F89" i="6"/>
  <c r="E89" i="6"/>
  <c r="D89" i="6"/>
  <c r="G89" i="6" s="1"/>
  <c r="F88" i="6"/>
  <c r="E88" i="6"/>
  <c r="D88" i="6"/>
  <c r="G88" i="6" s="1"/>
  <c r="F87" i="6"/>
  <c r="E87" i="6"/>
  <c r="D87" i="6"/>
  <c r="G87" i="6" s="1"/>
  <c r="F86" i="6"/>
  <c r="E86" i="6"/>
  <c r="D86" i="6"/>
  <c r="G86" i="6" s="1"/>
  <c r="F85" i="6"/>
  <c r="E85" i="6"/>
  <c r="D85" i="6"/>
  <c r="G85" i="6" s="1"/>
  <c r="F84" i="6"/>
  <c r="E84" i="6"/>
  <c r="D84" i="6"/>
  <c r="G84" i="6" s="1"/>
  <c r="F83" i="6"/>
  <c r="E83" i="6"/>
  <c r="D83" i="6"/>
  <c r="G83" i="6" s="1"/>
  <c r="F82" i="6"/>
  <c r="E82" i="6"/>
  <c r="D82" i="6"/>
  <c r="G82" i="6" s="1"/>
  <c r="F81" i="6"/>
  <c r="E81" i="6"/>
  <c r="D81" i="6"/>
  <c r="G81" i="6" s="1"/>
  <c r="F80" i="6"/>
  <c r="E80" i="6"/>
  <c r="D80" i="6"/>
  <c r="G80" i="6" s="1"/>
  <c r="F79" i="6"/>
  <c r="E79" i="6"/>
  <c r="D79" i="6"/>
  <c r="G79" i="6" s="1"/>
  <c r="F78" i="6"/>
  <c r="E78" i="6"/>
  <c r="D78" i="6"/>
  <c r="G78" i="6" s="1"/>
  <c r="F77" i="6"/>
  <c r="E77" i="6"/>
  <c r="D77" i="6"/>
  <c r="G77" i="6" s="1"/>
  <c r="F76" i="6"/>
  <c r="E76" i="6"/>
  <c r="D76" i="6"/>
  <c r="G76" i="6" s="1"/>
  <c r="F75" i="6"/>
  <c r="E75" i="6"/>
  <c r="D75" i="6"/>
  <c r="G75" i="6" s="1"/>
  <c r="F74" i="6"/>
  <c r="E74" i="6"/>
  <c r="D74" i="6"/>
  <c r="G74" i="6" s="1"/>
  <c r="F73" i="6"/>
  <c r="E73" i="6"/>
  <c r="D73" i="6"/>
  <c r="G73" i="6" s="1"/>
  <c r="F72" i="6"/>
  <c r="E72" i="6"/>
  <c r="D72" i="6"/>
  <c r="G72" i="6" s="1"/>
  <c r="F71" i="6"/>
  <c r="E71" i="6"/>
  <c r="D71" i="6"/>
  <c r="G71" i="6" s="1"/>
  <c r="F70" i="6"/>
  <c r="E70" i="6"/>
  <c r="D70" i="6"/>
  <c r="G70" i="6" s="1"/>
  <c r="F69" i="6"/>
  <c r="E69" i="6"/>
  <c r="D69" i="6"/>
  <c r="G69" i="6" s="1"/>
  <c r="F68" i="6"/>
  <c r="E68" i="6"/>
  <c r="D68" i="6"/>
  <c r="G68" i="6" s="1"/>
  <c r="F67" i="6"/>
  <c r="E67" i="6"/>
  <c r="D67" i="6"/>
  <c r="G67" i="6" s="1"/>
  <c r="F66" i="6"/>
  <c r="E66" i="6"/>
  <c r="D66" i="6"/>
  <c r="G66" i="6" s="1"/>
  <c r="F65" i="6"/>
  <c r="E65" i="6"/>
  <c r="D65" i="6"/>
  <c r="G65" i="6" s="1"/>
  <c r="F64" i="6"/>
  <c r="E64" i="6"/>
  <c r="D64" i="6"/>
  <c r="G64" i="6" s="1"/>
  <c r="F63" i="6"/>
  <c r="E63" i="6"/>
  <c r="D63" i="6"/>
  <c r="G63" i="6" s="1"/>
  <c r="F62" i="6"/>
  <c r="E62" i="6"/>
  <c r="D62" i="6"/>
  <c r="G62" i="6" s="1"/>
  <c r="F61" i="6"/>
  <c r="E61" i="6"/>
  <c r="D61" i="6"/>
  <c r="G61" i="6" s="1"/>
  <c r="F60" i="6"/>
  <c r="E60" i="6"/>
  <c r="D60" i="6"/>
  <c r="G60" i="6" s="1"/>
  <c r="F59" i="6"/>
  <c r="E59" i="6"/>
  <c r="D59" i="6"/>
  <c r="G59" i="6" s="1"/>
  <c r="F58" i="6"/>
  <c r="E58" i="6"/>
  <c r="D58" i="6"/>
  <c r="G58" i="6" s="1"/>
  <c r="F57" i="6"/>
  <c r="E57" i="6"/>
  <c r="D57" i="6"/>
  <c r="G57" i="6" s="1"/>
  <c r="F56" i="6"/>
  <c r="E56" i="6"/>
  <c r="D56" i="6"/>
  <c r="G56" i="6" s="1"/>
  <c r="F55" i="6"/>
  <c r="E55" i="6"/>
  <c r="D55" i="6"/>
  <c r="G55" i="6" s="1"/>
  <c r="F54" i="6"/>
  <c r="E54" i="6"/>
  <c r="D54" i="6"/>
  <c r="G54" i="6" s="1"/>
  <c r="F53" i="6"/>
  <c r="E53" i="6"/>
  <c r="D53" i="6"/>
  <c r="G53" i="6" s="1"/>
  <c r="F52" i="6"/>
  <c r="E52" i="6"/>
  <c r="D52" i="6"/>
  <c r="G52" i="6" s="1"/>
  <c r="F51" i="6"/>
  <c r="E51" i="6"/>
  <c r="D51" i="6"/>
  <c r="G51" i="6" s="1"/>
  <c r="F50" i="6"/>
  <c r="E50" i="6"/>
  <c r="D50" i="6"/>
  <c r="G50" i="6" s="1"/>
  <c r="F49" i="6"/>
  <c r="E49" i="6"/>
  <c r="D49" i="6"/>
  <c r="G49" i="6" s="1"/>
  <c r="F48" i="6"/>
  <c r="E48" i="6"/>
  <c r="D48" i="6"/>
  <c r="G48" i="6" s="1"/>
  <c r="F47" i="6"/>
  <c r="E47" i="6"/>
  <c r="D47" i="6"/>
  <c r="G47" i="6" s="1"/>
  <c r="F46" i="6"/>
  <c r="E46" i="6"/>
  <c r="D46" i="6"/>
  <c r="G46" i="6" s="1"/>
  <c r="F45" i="6"/>
  <c r="E45" i="6"/>
  <c r="D45" i="6"/>
  <c r="G45" i="6" s="1"/>
  <c r="F44" i="6"/>
  <c r="E44" i="6"/>
  <c r="D44" i="6"/>
  <c r="G44" i="6" s="1"/>
  <c r="F43" i="6"/>
  <c r="E43" i="6"/>
  <c r="D43" i="6"/>
  <c r="G43" i="6" s="1"/>
  <c r="F42" i="6"/>
  <c r="E42" i="6"/>
  <c r="D42" i="6"/>
  <c r="G42" i="6" s="1"/>
  <c r="F41" i="6"/>
  <c r="E41" i="6"/>
  <c r="D41" i="6"/>
  <c r="G41" i="6" s="1"/>
  <c r="F40" i="6"/>
  <c r="E40" i="6"/>
  <c r="D40" i="6"/>
  <c r="G40" i="6" s="1"/>
  <c r="F39" i="6"/>
  <c r="E39" i="6"/>
  <c r="D39" i="6"/>
  <c r="G39" i="6" s="1"/>
  <c r="F38" i="6"/>
  <c r="E38" i="6"/>
  <c r="D38" i="6"/>
  <c r="G38" i="6" s="1"/>
  <c r="F37" i="6"/>
  <c r="E37" i="6"/>
  <c r="D37" i="6"/>
  <c r="G37" i="6" s="1"/>
  <c r="F36" i="6"/>
  <c r="E36" i="6"/>
  <c r="D36" i="6"/>
  <c r="G36" i="6" s="1"/>
  <c r="F35" i="6"/>
  <c r="E35" i="6"/>
  <c r="D35" i="6"/>
  <c r="G35" i="6" s="1"/>
  <c r="F34" i="6"/>
  <c r="E34" i="6"/>
  <c r="D34" i="6"/>
  <c r="G34" i="6" s="1"/>
  <c r="F33" i="6"/>
  <c r="E33" i="6"/>
  <c r="D33" i="6"/>
  <c r="G33" i="6" s="1"/>
  <c r="F32" i="6"/>
  <c r="E32" i="6"/>
  <c r="D32" i="6"/>
  <c r="G32" i="6" s="1"/>
  <c r="F31" i="6"/>
  <c r="E31" i="6"/>
  <c r="D31" i="6"/>
  <c r="G31" i="6" s="1"/>
  <c r="F30" i="6"/>
  <c r="E30" i="6"/>
  <c r="D30" i="6"/>
  <c r="G30" i="6" s="1"/>
  <c r="F29" i="6"/>
  <c r="E29" i="6"/>
  <c r="D29" i="6"/>
  <c r="G29" i="6" s="1"/>
  <c r="F28" i="6"/>
  <c r="E28" i="6"/>
  <c r="D28" i="6"/>
  <c r="G28" i="6" s="1"/>
  <c r="F27" i="6"/>
  <c r="E27" i="6"/>
  <c r="D27" i="6"/>
  <c r="G27" i="6" s="1"/>
  <c r="F26" i="6"/>
  <c r="E26" i="6"/>
  <c r="D26" i="6"/>
  <c r="G26" i="6" s="1"/>
  <c r="F25" i="6"/>
  <c r="E25" i="6"/>
  <c r="D25" i="6"/>
  <c r="G25" i="6" s="1"/>
  <c r="F24" i="6"/>
  <c r="E24" i="6"/>
  <c r="D24" i="6"/>
  <c r="G24" i="6" s="1"/>
  <c r="F23" i="6"/>
  <c r="E23" i="6"/>
  <c r="D23" i="6"/>
  <c r="G23" i="6" s="1"/>
  <c r="F22" i="6"/>
  <c r="E22" i="6"/>
  <c r="D22" i="6"/>
  <c r="G22" i="6" s="1"/>
  <c r="F21" i="6"/>
  <c r="E21" i="6"/>
  <c r="D21" i="6"/>
  <c r="G21" i="6" s="1"/>
  <c r="F20" i="6"/>
  <c r="E20" i="6"/>
  <c r="D20" i="6"/>
  <c r="G20" i="6" s="1"/>
  <c r="F19" i="6"/>
  <c r="E19" i="6"/>
  <c r="D19" i="6"/>
  <c r="G19" i="6" s="1"/>
  <c r="F18" i="6"/>
  <c r="E18" i="6"/>
  <c r="D18" i="6"/>
  <c r="G18" i="6" s="1"/>
  <c r="F17" i="6"/>
  <c r="E17" i="6"/>
  <c r="D17" i="6"/>
  <c r="G17" i="6" s="1"/>
  <c r="F16" i="6"/>
  <c r="E16" i="6"/>
  <c r="D16" i="6"/>
  <c r="G16" i="6" s="1"/>
  <c r="F15" i="6"/>
  <c r="E15" i="6"/>
  <c r="D15" i="6"/>
  <c r="G15" i="6" s="1"/>
  <c r="F14" i="6"/>
  <c r="E14" i="6"/>
  <c r="D14" i="6"/>
  <c r="G14" i="6" s="1"/>
  <c r="F13" i="6"/>
  <c r="E13" i="6"/>
  <c r="D13" i="6"/>
  <c r="G13" i="6" s="1"/>
  <c r="F12" i="6"/>
  <c r="E12" i="6"/>
  <c r="D12" i="6"/>
  <c r="G12" i="6" s="1"/>
  <c r="F11" i="6"/>
  <c r="E11" i="6"/>
  <c r="D11" i="6"/>
  <c r="G11" i="6" s="1"/>
  <c r="F10" i="6"/>
  <c r="E10" i="6"/>
  <c r="D10" i="6"/>
  <c r="G10" i="6" s="1"/>
  <c r="F9" i="6"/>
  <c r="E9" i="6"/>
  <c r="D9" i="6"/>
  <c r="G9" i="6" s="1"/>
  <c r="F8" i="6"/>
  <c r="E8" i="6"/>
  <c r="D8" i="6"/>
  <c r="G8" i="6" s="1"/>
  <c r="F7" i="6"/>
  <c r="E7" i="6"/>
  <c r="D7" i="6"/>
  <c r="G7" i="6" s="1"/>
  <c r="F6" i="6"/>
  <c r="E6" i="6"/>
  <c r="D6" i="6"/>
  <c r="G6" i="6" s="1"/>
  <c r="F5" i="6"/>
  <c r="E5" i="6"/>
  <c r="D5" i="6"/>
  <c r="G5" i="6" s="1"/>
  <c r="F4" i="6"/>
  <c r="E4" i="6"/>
  <c r="D4" i="6"/>
  <c r="G4" i="6" s="1"/>
  <c r="F3" i="6"/>
  <c r="E3" i="6"/>
  <c r="D3" i="6"/>
  <c r="G3" i="6" s="1"/>
  <c r="F2" i="6"/>
  <c r="E2" i="6"/>
  <c r="D2" i="6"/>
  <c r="G2" i="6" s="1"/>
  <c r="C148" i="5"/>
  <c r="D148" i="5" s="1"/>
  <c r="B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C151" i="4"/>
  <c r="D151" i="4" s="1"/>
  <c r="B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E152" i="3"/>
  <c r="F152" i="3" s="1"/>
  <c r="D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D152" i="2"/>
  <c r="F151" i="2"/>
  <c r="E151" i="2"/>
  <c r="D151" i="2"/>
  <c r="G151" i="2" s="1"/>
  <c r="F150" i="2"/>
  <c r="E150" i="2"/>
  <c r="D150" i="2"/>
  <c r="G150" i="2" s="1"/>
  <c r="F149" i="2"/>
  <c r="E149" i="2"/>
  <c r="D149" i="2"/>
  <c r="G149" i="2" s="1"/>
  <c r="F148" i="2"/>
  <c r="E148" i="2"/>
  <c r="D148" i="2"/>
  <c r="G148" i="2" s="1"/>
  <c r="F147" i="2"/>
  <c r="E147" i="2"/>
  <c r="D147" i="2"/>
  <c r="G147" i="2" s="1"/>
  <c r="F146" i="2"/>
  <c r="E146" i="2"/>
  <c r="D146" i="2"/>
  <c r="G146" i="2" s="1"/>
  <c r="F145" i="2"/>
  <c r="E145" i="2"/>
  <c r="D145" i="2"/>
  <c r="G145" i="2" s="1"/>
  <c r="F144" i="2"/>
  <c r="E144" i="2"/>
  <c r="D144" i="2"/>
  <c r="G144" i="2" s="1"/>
  <c r="F143" i="2"/>
  <c r="E143" i="2"/>
  <c r="D143" i="2"/>
  <c r="G143" i="2" s="1"/>
  <c r="F142" i="2"/>
  <c r="E142" i="2"/>
  <c r="D142" i="2"/>
  <c r="G142" i="2" s="1"/>
  <c r="F141" i="2"/>
  <c r="E141" i="2"/>
  <c r="D141" i="2"/>
  <c r="G141" i="2" s="1"/>
  <c r="F140" i="2"/>
  <c r="E140" i="2"/>
  <c r="D140" i="2"/>
  <c r="G140" i="2" s="1"/>
  <c r="F139" i="2"/>
  <c r="E139" i="2"/>
  <c r="D139" i="2"/>
  <c r="G139" i="2" s="1"/>
  <c r="F138" i="2"/>
  <c r="E138" i="2"/>
  <c r="D138" i="2"/>
  <c r="G138" i="2" s="1"/>
  <c r="F137" i="2"/>
  <c r="E137" i="2"/>
  <c r="D137" i="2"/>
  <c r="G137" i="2" s="1"/>
  <c r="F136" i="2"/>
  <c r="E136" i="2"/>
  <c r="D136" i="2"/>
  <c r="G136" i="2" s="1"/>
  <c r="F135" i="2"/>
  <c r="E135" i="2"/>
  <c r="D135" i="2"/>
  <c r="G135" i="2" s="1"/>
  <c r="F134" i="2"/>
  <c r="E134" i="2"/>
  <c r="D134" i="2"/>
  <c r="G134" i="2" s="1"/>
  <c r="F133" i="2"/>
  <c r="E133" i="2"/>
  <c r="D133" i="2"/>
  <c r="G133" i="2" s="1"/>
  <c r="F132" i="2"/>
  <c r="E132" i="2"/>
  <c r="D132" i="2"/>
  <c r="G132" i="2" s="1"/>
  <c r="F131" i="2"/>
  <c r="E131" i="2"/>
  <c r="D131" i="2"/>
  <c r="G131" i="2" s="1"/>
  <c r="F130" i="2"/>
  <c r="E130" i="2"/>
  <c r="D130" i="2"/>
  <c r="G130" i="2" s="1"/>
  <c r="F129" i="2"/>
  <c r="E129" i="2"/>
  <c r="D129" i="2"/>
  <c r="G129" i="2" s="1"/>
  <c r="F128" i="2"/>
  <c r="E128" i="2"/>
  <c r="D128" i="2"/>
  <c r="G128" i="2" s="1"/>
  <c r="F127" i="2"/>
  <c r="E127" i="2"/>
  <c r="D127" i="2"/>
  <c r="G127" i="2" s="1"/>
  <c r="F126" i="2"/>
  <c r="E126" i="2"/>
  <c r="D126" i="2"/>
  <c r="G126" i="2" s="1"/>
  <c r="F125" i="2"/>
  <c r="E125" i="2"/>
  <c r="D125" i="2"/>
  <c r="G125" i="2" s="1"/>
  <c r="F124" i="2"/>
  <c r="E124" i="2"/>
  <c r="D124" i="2"/>
  <c r="G124" i="2" s="1"/>
  <c r="F123" i="2"/>
  <c r="E123" i="2"/>
  <c r="D123" i="2"/>
  <c r="G123" i="2" s="1"/>
  <c r="F122" i="2"/>
  <c r="E122" i="2"/>
  <c r="D122" i="2"/>
  <c r="G122" i="2" s="1"/>
  <c r="F121" i="2"/>
  <c r="E121" i="2"/>
  <c r="D121" i="2"/>
  <c r="G121" i="2" s="1"/>
  <c r="F120" i="2"/>
  <c r="E120" i="2"/>
  <c r="D120" i="2"/>
  <c r="G120" i="2" s="1"/>
  <c r="F119" i="2"/>
  <c r="E119" i="2"/>
  <c r="D119" i="2"/>
  <c r="G119" i="2" s="1"/>
  <c r="F118" i="2"/>
  <c r="E118" i="2"/>
  <c r="D118" i="2"/>
  <c r="G118" i="2" s="1"/>
  <c r="F117" i="2"/>
  <c r="E117" i="2"/>
  <c r="D117" i="2"/>
  <c r="G117" i="2" s="1"/>
  <c r="F116" i="2"/>
  <c r="E116" i="2"/>
  <c r="D116" i="2"/>
  <c r="G116" i="2" s="1"/>
  <c r="F115" i="2"/>
  <c r="E115" i="2"/>
  <c r="D115" i="2"/>
  <c r="G115" i="2" s="1"/>
  <c r="F114" i="2"/>
  <c r="E114" i="2"/>
  <c r="D114" i="2"/>
  <c r="G114" i="2" s="1"/>
  <c r="F113" i="2"/>
  <c r="E113" i="2"/>
  <c r="D113" i="2"/>
  <c r="G113" i="2" s="1"/>
  <c r="F112" i="2"/>
  <c r="E112" i="2"/>
  <c r="D112" i="2"/>
  <c r="G112" i="2" s="1"/>
  <c r="F111" i="2"/>
  <c r="E111" i="2"/>
  <c r="D111" i="2"/>
  <c r="G111" i="2" s="1"/>
  <c r="F110" i="2"/>
  <c r="E110" i="2"/>
  <c r="D110" i="2"/>
  <c r="G110" i="2" s="1"/>
  <c r="F109" i="2"/>
  <c r="E109" i="2"/>
  <c r="D109" i="2"/>
  <c r="G109" i="2" s="1"/>
  <c r="F108" i="2"/>
  <c r="E108" i="2"/>
  <c r="D108" i="2"/>
  <c r="G108" i="2" s="1"/>
  <c r="F107" i="2"/>
  <c r="E107" i="2"/>
  <c r="D107" i="2"/>
  <c r="G107" i="2" s="1"/>
  <c r="F106" i="2"/>
  <c r="E106" i="2"/>
  <c r="D106" i="2"/>
  <c r="G106" i="2" s="1"/>
  <c r="F105" i="2"/>
  <c r="E105" i="2"/>
  <c r="D105" i="2"/>
  <c r="G105" i="2" s="1"/>
  <c r="F104" i="2"/>
  <c r="E104" i="2"/>
  <c r="D104" i="2"/>
  <c r="G104" i="2" s="1"/>
  <c r="F103" i="2"/>
  <c r="E103" i="2"/>
  <c r="D103" i="2"/>
  <c r="G103" i="2" s="1"/>
  <c r="F102" i="2"/>
  <c r="E102" i="2"/>
  <c r="D102" i="2"/>
  <c r="G102" i="2" s="1"/>
  <c r="F101" i="2"/>
  <c r="E101" i="2"/>
  <c r="D101" i="2"/>
  <c r="G101" i="2" s="1"/>
  <c r="F100" i="2"/>
  <c r="E100" i="2"/>
  <c r="D100" i="2"/>
  <c r="G100" i="2" s="1"/>
  <c r="F99" i="2"/>
  <c r="E99" i="2"/>
  <c r="D99" i="2"/>
  <c r="G99" i="2" s="1"/>
  <c r="F98" i="2"/>
  <c r="E98" i="2"/>
  <c r="D98" i="2"/>
  <c r="G98" i="2" s="1"/>
  <c r="F97" i="2"/>
  <c r="E97" i="2"/>
  <c r="D97" i="2"/>
  <c r="G97" i="2" s="1"/>
  <c r="F96" i="2"/>
  <c r="E96" i="2"/>
  <c r="D96" i="2"/>
  <c r="G96" i="2" s="1"/>
  <c r="F95" i="2"/>
  <c r="E95" i="2"/>
  <c r="D95" i="2"/>
  <c r="G95" i="2" s="1"/>
  <c r="F94" i="2"/>
  <c r="E94" i="2"/>
  <c r="D94" i="2"/>
  <c r="G94" i="2" s="1"/>
  <c r="F93" i="2"/>
  <c r="E93" i="2"/>
  <c r="D93" i="2"/>
  <c r="G93" i="2" s="1"/>
  <c r="F92" i="2"/>
  <c r="E92" i="2"/>
  <c r="D92" i="2"/>
  <c r="G92" i="2" s="1"/>
  <c r="F91" i="2"/>
  <c r="E91" i="2"/>
  <c r="D91" i="2"/>
  <c r="G91" i="2" s="1"/>
  <c r="F90" i="2"/>
  <c r="E90" i="2"/>
  <c r="D90" i="2"/>
  <c r="G90" i="2" s="1"/>
  <c r="F89" i="2"/>
  <c r="E89" i="2"/>
  <c r="D89" i="2"/>
  <c r="G89" i="2" s="1"/>
  <c r="F88" i="2"/>
  <c r="E88" i="2"/>
  <c r="D88" i="2"/>
  <c r="G88" i="2" s="1"/>
  <c r="F87" i="2"/>
  <c r="E87" i="2"/>
  <c r="D87" i="2"/>
  <c r="G87" i="2" s="1"/>
  <c r="F86" i="2"/>
  <c r="E86" i="2"/>
  <c r="D86" i="2"/>
  <c r="G86" i="2" s="1"/>
  <c r="F85" i="2"/>
  <c r="E85" i="2"/>
  <c r="D85" i="2"/>
  <c r="G85" i="2" s="1"/>
  <c r="F84" i="2"/>
  <c r="E84" i="2"/>
  <c r="D84" i="2"/>
  <c r="G84" i="2" s="1"/>
  <c r="F83" i="2"/>
  <c r="E83" i="2"/>
  <c r="D83" i="2"/>
  <c r="G83" i="2" s="1"/>
  <c r="F82" i="2"/>
  <c r="E82" i="2"/>
  <c r="D82" i="2"/>
  <c r="G82" i="2" s="1"/>
  <c r="F81" i="2"/>
  <c r="E81" i="2"/>
  <c r="D81" i="2"/>
  <c r="G81" i="2" s="1"/>
  <c r="F80" i="2"/>
  <c r="E80" i="2"/>
  <c r="D80" i="2"/>
  <c r="G80" i="2" s="1"/>
  <c r="F79" i="2"/>
  <c r="E79" i="2"/>
  <c r="D79" i="2"/>
  <c r="G79" i="2" s="1"/>
  <c r="F78" i="2"/>
  <c r="E78" i="2"/>
  <c r="D78" i="2"/>
  <c r="G78" i="2" s="1"/>
  <c r="F77" i="2"/>
  <c r="E77" i="2"/>
  <c r="D77" i="2"/>
  <c r="G77" i="2" s="1"/>
  <c r="F76" i="2"/>
  <c r="E76" i="2"/>
  <c r="D76" i="2"/>
  <c r="G76" i="2" s="1"/>
  <c r="F75" i="2"/>
  <c r="E75" i="2"/>
  <c r="D75" i="2"/>
  <c r="G75" i="2" s="1"/>
  <c r="F74" i="2"/>
  <c r="E74" i="2"/>
  <c r="D74" i="2"/>
  <c r="G74" i="2" s="1"/>
  <c r="F73" i="2"/>
  <c r="E73" i="2"/>
  <c r="D73" i="2"/>
  <c r="G73" i="2" s="1"/>
  <c r="F72" i="2"/>
  <c r="E72" i="2"/>
  <c r="D72" i="2"/>
  <c r="G72" i="2" s="1"/>
  <c r="F71" i="2"/>
  <c r="E71" i="2"/>
  <c r="D71" i="2"/>
  <c r="G71" i="2" s="1"/>
  <c r="F70" i="2"/>
  <c r="E70" i="2"/>
  <c r="D70" i="2"/>
  <c r="G70" i="2" s="1"/>
  <c r="F69" i="2"/>
  <c r="E69" i="2"/>
  <c r="D69" i="2"/>
  <c r="G69" i="2" s="1"/>
  <c r="F68" i="2"/>
  <c r="E68" i="2"/>
  <c r="D68" i="2"/>
  <c r="G68" i="2" s="1"/>
  <c r="F67" i="2"/>
  <c r="E67" i="2"/>
  <c r="D67" i="2"/>
  <c r="G67" i="2" s="1"/>
  <c r="F66" i="2"/>
  <c r="E66" i="2"/>
  <c r="D66" i="2"/>
  <c r="G66" i="2" s="1"/>
  <c r="F65" i="2"/>
  <c r="E65" i="2"/>
  <c r="D65" i="2"/>
  <c r="G65" i="2" s="1"/>
  <c r="F64" i="2"/>
  <c r="E64" i="2"/>
  <c r="D64" i="2"/>
  <c r="G64" i="2" s="1"/>
  <c r="F63" i="2"/>
  <c r="E63" i="2"/>
  <c r="D63" i="2"/>
  <c r="G63" i="2" s="1"/>
  <c r="F62" i="2"/>
  <c r="E62" i="2"/>
  <c r="D62" i="2"/>
  <c r="G62" i="2" s="1"/>
  <c r="F61" i="2"/>
  <c r="E61" i="2"/>
  <c r="D61" i="2"/>
  <c r="G61" i="2" s="1"/>
  <c r="F60" i="2"/>
  <c r="E60" i="2"/>
  <c r="D60" i="2"/>
  <c r="G60" i="2" s="1"/>
  <c r="F59" i="2"/>
  <c r="E59" i="2"/>
  <c r="D59" i="2"/>
  <c r="G59" i="2" s="1"/>
  <c r="F58" i="2"/>
  <c r="E58" i="2"/>
  <c r="D58" i="2"/>
  <c r="G58" i="2" s="1"/>
  <c r="F57" i="2"/>
  <c r="E57" i="2"/>
  <c r="D57" i="2"/>
  <c r="G57" i="2" s="1"/>
  <c r="F56" i="2"/>
  <c r="E56" i="2"/>
  <c r="D56" i="2"/>
  <c r="G56" i="2" s="1"/>
  <c r="F55" i="2"/>
  <c r="E55" i="2"/>
  <c r="D55" i="2"/>
  <c r="G55" i="2" s="1"/>
  <c r="F54" i="2"/>
  <c r="E54" i="2"/>
  <c r="D54" i="2"/>
  <c r="G54" i="2" s="1"/>
  <c r="F53" i="2"/>
  <c r="E53" i="2"/>
  <c r="D53" i="2"/>
  <c r="G53" i="2" s="1"/>
  <c r="F52" i="2"/>
  <c r="E52" i="2"/>
  <c r="D52" i="2"/>
  <c r="G52" i="2" s="1"/>
  <c r="F51" i="2"/>
  <c r="E51" i="2"/>
  <c r="D51" i="2"/>
  <c r="G51" i="2" s="1"/>
  <c r="F50" i="2"/>
  <c r="E50" i="2"/>
  <c r="D50" i="2"/>
  <c r="G50" i="2" s="1"/>
  <c r="F49" i="2"/>
  <c r="E49" i="2"/>
  <c r="D49" i="2"/>
  <c r="G49" i="2" s="1"/>
  <c r="F48" i="2"/>
  <c r="E48" i="2"/>
  <c r="D48" i="2"/>
  <c r="G48" i="2" s="1"/>
  <c r="F47" i="2"/>
  <c r="E47" i="2"/>
  <c r="D47" i="2"/>
  <c r="G47" i="2" s="1"/>
  <c r="F46" i="2"/>
  <c r="E46" i="2"/>
  <c r="D46" i="2"/>
  <c r="G46" i="2" s="1"/>
  <c r="F45" i="2"/>
  <c r="E45" i="2"/>
  <c r="D45" i="2"/>
  <c r="G45" i="2" s="1"/>
  <c r="F44" i="2"/>
  <c r="E44" i="2"/>
  <c r="D44" i="2"/>
  <c r="G44" i="2" s="1"/>
  <c r="F43" i="2"/>
  <c r="E43" i="2"/>
  <c r="D43" i="2"/>
  <c r="G43" i="2" s="1"/>
  <c r="F42" i="2"/>
  <c r="E42" i="2"/>
  <c r="D42" i="2"/>
  <c r="G42" i="2" s="1"/>
  <c r="F41" i="2"/>
  <c r="E41" i="2"/>
  <c r="D41" i="2"/>
  <c r="G41" i="2" s="1"/>
  <c r="F40" i="2"/>
  <c r="E40" i="2"/>
  <c r="D40" i="2"/>
  <c r="G40" i="2" s="1"/>
  <c r="F39" i="2"/>
  <c r="E39" i="2"/>
  <c r="D39" i="2"/>
  <c r="G39" i="2" s="1"/>
  <c r="F38" i="2"/>
  <c r="E38" i="2"/>
  <c r="D38" i="2"/>
  <c r="G38" i="2" s="1"/>
  <c r="F37" i="2"/>
  <c r="E37" i="2"/>
  <c r="D37" i="2"/>
  <c r="G37" i="2" s="1"/>
  <c r="F36" i="2"/>
  <c r="E36" i="2"/>
  <c r="D36" i="2"/>
  <c r="G36" i="2" s="1"/>
  <c r="F35" i="2"/>
  <c r="E35" i="2"/>
  <c r="D35" i="2"/>
  <c r="G35" i="2" s="1"/>
  <c r="F34" i="2"/>
  <c r="E34" i="2"/>
  <c r="D34" i="2"/>
  <c r="G34" i="2" s="1"/>
  <c r="F33" i="2"/>
  <c r="E33" i="2"/>
  <c r="D33" i="2"/>
  <c r="G33" i="2" s="1"/>
  <c r="F32" i="2"/>
  <c r="E32" i="2"/>
  <c r="D32" i="2"/>
  <c r="G32" i="2" s="1"/>
  <c r="F31" i="2"/>
  <c r="E31" i="2"/>
  <c r="D31" i="2"/>
  <c r="G31" i="2" s="1"/>
  <c r="F30" i="2"/>
  <c r="E30" i="2"/>
  <c r="D30" i="2"/>
  <c r="G30" i="2" s="1"/>
  <c r="F29" i="2"/>
  <c r="E29" i="2"/>
  <c r="D29" i="2"/>
  <c r="G29" i="2" s="1"/>
  <c r="F28" i="2"/>
  <c r="E28" i="2"/>
  <c r="D28" i="2"/>
  <c r="G28" i="2" s="1"/>
  <c r="F27" i="2"/>
  <c r="E27" i="2"/>
  <c r="D27" i="2"/>
  <c r="G27" i="2" s="1"/>
  <c r="F26" i="2"/>
  <c r="E26" i="2"/>
  <c r="D26" i="2"/>
  <c r="G26" i="2" s="1"/>
  <c r="F25" i="2"/>
  <c r="E25" i="2"/>
  <c r="D25" i="2"/>
  <c r="G25" i="2" s="1"/>
  <c r="F24" i="2"/>
  <c r="E24" i="2"/>
  <c r="D24" i="2"/>
  <c r="G24" i="2" s="1"/>
  <c r="F23" i="2"/>
  <c r="E23" i="2"/>
  <c r="D23" i="2"/>
  <c r="G23" i="2" s="1"/>
  <c r="F22" i="2"/>
  <c r="E22" i="2"/>
  <c r="D22" i="2"/>
  <c r="G22" i="2" s="1"/>
  <c r="F21" i="2"/>
  <c r="E21" i="2"/>
  <c r="D21" i="2"/>
  <c r="G21" i="2" s="1"/>
  <c r="F20" i="2"/>
  <c r="E20" i="2"/>
  <c r="D20" i="2"/>
  <c r="G20" i="2" s="1"/>
  <c r="F19" i="2"/>
  <c r="E19" i="2"/>
  <c r="D19" i="2"/>
  <c r="G19" i="2" s="1"/>
  <c r="F18" i="2"/>
  <c r="E18" i="2"/>
  <c r="D18" i="2"/>
  <c r="G18" i="2" s="1"/>
  <c r="F17" i="2"/>
  <c r="E17" i="2"/>
  <c r="D17" i="2"/>
  <c r="G17" i="2" s="1"/>
  <c r="F16" i="2"/>
  <c r="E16" i="2"/>
  <c r="D16" i="2"/>
  <c r="G16" i="2" s="1"/>
  <c r="F15" i="2"/>
  <c r="E15" i="2"/>
  <c r="D15" i="2"/>
  <c r="G15" i="2" s="1"/>
  <c r="F14" i="2"/>
  <c r="E14" i="2"/>
  <c r="D14" i="2"/>
  <c r="G14" i="2" s="1"/>
  <c r="F13" i="2"/>
  <c r="E13" i="2"/>
  <c r="D13" i="2"/>
  <c r="G13" i="2" s="1"/>
  <c r="F12" i="2"/>
  <c r="E12" i="2"/>
  <c r="D12" i="2"/>
  <c r="G12" i="2" s="1"/>
  <c r="F11" i="2"/>
  <c r="E11" i="2"/>
  <c r="D11" i="2"/>
  <c r="G11" i="2" s="1"/>
  <c r="F10" i="2"/>
  <c r="E10" i="2"/>
  <c r="D10" i="2"/>
  <c r="G10" i="2" s="1"/>
  <c r="F9" i="2"/>
  <c r="E9" i="2"/>
  <c r="D9" i="2"/>
  <c r="G9" i="2" s="1"/>
  <c r="F8" i="2"/>
  <c r="D8" i="2"/>
  <c r="D7" i="2"/>
  <c r="D6" i="2"/>
  <c r="D5" i="2"/>
  <c r="D4" i="2"/>
  <c r="D3" i="2"/>
  <c r="D2" i="2"/>
  <c r="C149" i="1"/>
  <c r="D149" i="1" s="1"/>
  <c r="B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57" i="10"/>
  <c r="D57" i="10" s="1"/>
  <c r="B57" i="10"/>
  <c r="A57" i="10"/>
  <c r="C56" i="10"/>
  <c r="D56" i="10" s="1"/>
  <c r="B56" i="10"/>
  <c r="A56" i="10"/>
  <c r="C55" i="10"/>
  <c r="D55" i="10" s="1"/>
  <c r="B55" i="10"/>
  <c r="A55" i="10"/>
  <c r="C54" i="10"/>
  <c r="D54" i="10" s="1"/>
  <c r="B54" i="10"/>
  <c r="A54" i="10"/>
  <c r="C53" i="10"/>
  <c r="D53" i="10" s="1"/>
  <c r="B53" i="10"/>
  <c r="A53" i="10"/>
  <c r="C52" i="10"/>
  <c r="D52" i="10" s="1"/>
  <c r="B52" i="10"/>
  <c r="A52" i="10"/>
  <c r="C51" i="10"/>
  <c r="D51" i="10" s="1"/>
  <c r="B51" i="10"/>
  <c r="A51" i="10"/>
  <c r="C50" i="10"/>
  <c r="D50" i="10" s="1"/>
  <c r="B50" i="10"/>
  <c r="A50" i="10"/>
  <c r="C49" i="10"/>
  <c r="D49" i="10" s="1"/>
  <c r="B49" i="10"/>
  <c r="A49" i="10"/>
  <c r="C48" i="10"/>
  <c r="D48" i="10" s="1"/>
  <c r="B48" i="10"/>
  <c r="A48" i="10"/>
  <c r="C47" i="10"/>
  <c r="D47" i="10" s="1"/>
  <c r="B47" i="10"/>
  <c r="A47" i="10"/>
  <c r="C46" i="10"/>
  <c r="D46" i="10" s="1"/>
  <c r="B46" i="10"/>
  <c r="A46" i="10"/>
  <c r="C45" i="10"/>
  <c r="D45" i="10" s="1"/>
  <c r="B45" i="10"/>
  <c r="A45" i="10"/>
  <c r="C44" i="10"/>
  <c r="D44" i="10" s="1"/>
  <c r="B44" i="10"/>
  <c r="A44" i="10"/>
  <c r="C43" i="10"/>
  <c r="D43" i="10" s="1"/>
  <c r="B43" i="10"/>
  <c r="A43" i="10"/>
  <c r="C42" i="10"/>
  <c r="D42" i="10" s="1"/>
  <c r="B42" i="10"/>
  <c r="A42" i="10"/>
  <c r="C41" i="10"/>
  <c r="D41" i="10" s="1"/>
  <c r="B41" i="10"/>
  <c r="A41" i="10"/>
  <c r="C40" i="10"/>
  <c r="D40" i="10" s="1"/>
  <c r="B40" i="10"/>
  <c r="A40" i="10"/>
  <c r="C39" i="10"/>
  <c r="D39" i="10" s="1"/>
  <c r="B39" i="10"/>
  <c r="A39" i="10"/>
  <c r="C38" i="10"/>
  <c r="D38" i="10" s="1"/>
  <c r="B38" i="10"/>
  <c r="A38" i="10"/>
  <c r="D32" i="10"/>
  <c r="C31" i="10"/>
  <c r="D31" i="10" s="1"/>
  <c r="B31" i="10"/>
  <c r="F30" i="10"/>
  <c r="E30" i="10"/>
  <c r="D30" i="10"/>
  <c r="G30" i="10" s="1"/>
  <c r="F29" i="10"/>
  <c r="E29" i="10"/>
  <c r="D29" i="10"/>
  <c r="G29" i="10" s="1"/>
  <c r="F28" i="10"/>
  <c r="E28" i="10"/>
  <c r="D28" i="10"/>
  <c r="G28" i="10" s="1"/>
  <c r="F27" i="10"/>
  <c r="E27" i="10"/>
  <c r="D27" i="10"/>
  <c r="G27" i="10" s="1"/>
  <c r="F26" i="10"/>
  <c r="E26" i="10"/>
  <c r="D26" i="10"/>
  <c r="G26" i="10" s="1"/>
  <c r="F25" i="10"/>
  <c r="E25" i="10"/>
  <c r="D25" i="10"/>
  <c r="G25" i="10" s="1"/>
  <c r="F24" i="10"/>
  <c r="E24" i="10"/>
  <c r="D24" i="10"/>
  <c r="G24" i="10" s="1"/>
  <c r="F23" i="10"/>
  <c r="E23" i="10"/>
  <c r="D23" i="10"/>
  <c r="G23" i="10" s="1"/>
  <c r="F22" i="10"/>
  <c r="E22" i="10"/>
  <c r="D22" i="10"/>
  <c r="G22" i="10" s="1"/>
  <c r="F21" i="10"/>
  <c r="E21" i="10"/>
  <c r="D21" i="10"/>
  <c r="G21" i="10" s="1"/>
  <c r="F20" i="10"/>
  <c r="E20" i="10"/>
  <c r="D20" i="10"/>
  <c r="G20" i="10" s="1"/>
  <c r="F19" i="10"/>
  <c r="E19" i="10"/>
  <c r="D19" i="10"/>
  <c r="G19" i="10" s="1"/>
  <c r="F18" i="10"/>
  <c r="E18" i="10"/>
  <c r="D18" i="10"/>
  <c r="G18" i="10" s="1"/>
  <c r="F17" i="10"/>
  <c r="E17" i="10"/>
  <c r="D17" i="10"/>
  <c r="G17" i="10" s="1"/>
  <c r="F16" i="10"/>
  <c r="E16" i="10"/>
  <c r="D16" i="10"/>
  <c r="G16" i="10" s="1"/>
  <c r="F15" i="10"/>
  <c r="E15" i="10"/>
  <c r="D15" i="10"/>
  <c r="G15" i="10" s="1"/>
  <c r="F14" i="10"/>
  <c r="E14" i="10"/>
  <c r="D14" i="10"/>
  <c r="G14" i="10" s="1"/>
  <c r="F13" i="10"/>
  <c r="E13" i="10"/>
  <c r="D13" i="10"/>
  <c r="G13" i="10" s="1"/>
  <c r="F12" i="10"/>
  <c r="E12" i="10"/>
  <c r="D12" i="10"/>
  <c r="G12" i="10" s="1"/>
  <c r="F11" i="10"/>
  <c r="E11" i="10"/>
  <c r="D11" i="10"/>
  <c r="G11" i="10" s="1"/>
  <c r="F10" i="10"/>
  <c r="E10" i="10"/>
  <c r="D10" i="10"/>
  <c r="G10" i="10" s="1"/>
  <c r="F9" i="10"/>
  <c r="E9" i="10"/>
  <c r="D9" i="10"/>
  <c r="G9" i="10" s="1"/>
  <c r="F8" i="10"/>
  <c r="E8" i="10"/>
  <c r="D8" i="10"/>
  <c r="G8" i="10" s="1"/>
  <c r="F7" i="10"/>
  <c r="E7" i="10"/>
  <c r="D7" i="10"/>
  <c r="G7" i="10" s="1"/>
  <c r="F6" i="10"/>
  <c r="E6" i="10"/>
  <c r="D6" i="10"/>
  <c r="G6" i="10" s="1"/>
  <c r="F5" i="10"/>
  <c r="E5" i="10"/>
  <c r="D5" i="10"/>
  <c r="G5" i="10" s="1"/>
  <c r="F4" i="10"/>
  <c r="E4" i="10"/>
  <c r="D4" i="10"/>
  <c r="G4" i="10" s="1"/>
  <c r="F3" i="10"/>
  <c r="E3" i="10"/>
  <c r="D3" i="10"/>
  <c r="G3" i="10" s="1"/>
  <c r="F2" i="10"/>
  <c r="E2" i="10"/>
  <c r="D2" i="10"/>
  <c r="G2" i="10" s="1"/>
  <c r="E2" i="9" l="1"/>
  <c r="F2" i="9"/>
  <c r="E3" i="9"/>
  <c r="F3" i="9"/>
  <c r="E4" i="9"/>
  <c r="F4" i="9"/>
  <c r="E5" i="9"/>
  <c r="G5" i="9" s="1"/>
  <c r="F5" i="9"/>
  <c r="E6" i="9"/>
  <c r="F6" i="9"/>
  <c r="E7" i="9"/>
  <c r="F7" i="9"/>
  <c r="E8" i="9"/>
  <c r="F8" i="9"/>
  <c r="E9" i="9"/>
  <c r="F9" i="9"/>
  <c r="E10" i="9"/>
  <c r="G10" i="9" s="1"/>
  <c r="F10" i="9"/>
  <c r="E11" i="9"/>
  <c r="F11" i="9"/>
  <c r="E12" i="9"/>
  <c r="F12" i="9"/>
  <c r="E13" i="9"/>
  <c r="G13" i="9" s="1"/>
  <c r="F13" i="9"/>
  <c r="E14" i="9"/>
  <c r="F14" i="9"/>
  <c r="E15" i="9"/>
  <c r="F15" i="9"/>
  <c r="E16" i="9"/>
  <c r="F16" i="9"/>
  <c r="E17" i="9"/>
  <c r="F17" i="9"/>
  <c r="E18" i="9"/>
  <c r="F18" i="9"/>
  <c r="E19" i="9"/>
  <c r="F19" i="9"/>
  <c r="E20" i="9"/>
  <c r="F20" i="9"/>
  <c r="E21" i="9"/>
  <c r="F21" i="9"/>
  <c r="E22" i="9"/>
  <c r="F22" i="9"/>
  <c r="E23" i="9"/>
  <c r="G23" i="9" s="1"/>
  <c r="F23" i="9"/>
  <c r="E24" i="9"/>
  <c r="F24" i="9"/>
  <c r="E25" i="9"/>
  <c r="F25" i="9"/>
  <c r="E26" i="9"/>
  <c r="F26" i="9"/>
  <c r="E27" i="9"/>
  <c r="F27" i="9"/>
  <c r="E28" i="9"/>
  <c r="F28" i="9"/>
  <c r="E29" i="9"/>
  <c r="F29" i="9"/>
  <c r="E30" i="9"/>
  <c r="F30" i="9"/>
  <c r="F2" i="8"/>
  <c r="F4" i="8"/>
  <c r="F7" i="8"/>
  <c r="F8" i="8"/>
  <c r="E9" i="8"/>
  <c r="F10" i="8"/>
  <c r="F11" i="8"/>
  <c r="E12" i="8"/>
  <c r="E18" i="8"/>
  <c r="E19" i="8"/>
  <c r="E20" i="8"/>
  <c r="F23" i="8"/>
  <c r="F33" i="8"/>
  <c r="E34" i="8"/>
  <c r="E35" i="8"/>
  <c r="F36" i="8"/>
  <c r="F39" i="8"/>
  <c r="E40" i="8"/>
  <c r="F44" i="8"/>
  <c r="E47" i="8"/>
  <c r="E48" i="8"/>
  <c r="F51" i="8"/>
  <c r="E3" i="8"/>
  <c r="E4" i="8"/>
  <c r="G4" i="8" s="1"/>
  <c r="E5" i="8"/>
  <c r="E6" i="8"/>
  <c r="E7" i="8"/>
  <c r="G7" i="8" s="1"/>
  <c r="E8" i="8"/>
  <c r="G8" i="8" s="1"/>
  <c r="E16" i="8"/>
  <c r="F19" i="8"/>
  <c r="F20" i="8"/>
  <c r="E21" i="8"/>
  <c r="E22" i="8"/>
  <c r="E23" i="8"/>
  <c r="G23" i="8" s="1"/>
  <c r="E24" i="8"/>
  <c r="F26" i="8"/>
  <c r="F27" i="8"/>
  <c r="E28" i="8"/>
  <c r="E31" i="8"/>
  <c r="E32" i="8"/>
  <c r="E37" i="8"/>
  <c r="E38" i="8"/>
  <c r="E44" i="8"/>
  <c r="G44" i="8" s="1"/>
  <c r="E45" i="8"/>
  <c r="E46" i="8"/>
  <c r="E50" i="8"/>
  <c r="E10" i="8"/>
  <c r="G10" i="8" s="1"/>
  <c r="E11" i="8"/>
  <c r="G11" i="8" s="1"/>
  <c r="F12" i="8"/>
  <c r="E13" i="8"/>
  <c r="F14" i="8"/>
  <c r="E15" i="8"/>
  <c r="F17" i="8"/>
  <c r="F18" i="8"/>
  <c r="F21" i="8"/>
  <c r="F22" i="8"/>
  <c r="E25" i="8"/>
  <c r="E26" i="8"/>
  <c r="G26" i="8" s="1"/>
  <c r="F29" i="8"/>
  <c r="F31" i="8"/>
  <c r="F32" i="8"/>
  <c r="E36" i="8"/>
  <c r="G36" i="8" s="1"/>
  <c r="E39" i="8"/>
  <c r="G39" i="8" s="1"/>
  <c r="F40" i="8"/>
  <c r="F41" i="8"/>
  <c r="F42" i="8"/>
  <c r="F43" i="8"/>
  <c r="F45" i="8"/>
  <c r="F49" i="8"/>
  <c r="E51" i="8"/>
  <c r="G51" i="8" s="1"/>
  <c r="E52" i="8"/>
  <c r="E2" i="8"/>
  <c r="G2" i="8" s="1"/>
  <c r="F5" i="8"/>
  <c r="F9" i="8"/>
  <c r="F15" i="8"/>
  <c r="F24" i="8"/>
  <c r="F25" i="8"/>
  <c r="E27" i="8"/>
  <c r="G27" i="8" s="1"/>
  <c r="F30" i="8"/>
  <c r="F35" i="8"/>
  <c r="F37" i="8"/>
  <c r="F38" i="8"/>
  <c r="E41" i="8"/>
  <c r="G41" i="8" s="1"/>
  <c r="E42" i="8"/>
  <c r="G42" i="8" s="1"/>
  <c r="F47" i="8"/>
  <c r="F50" i="8"/>
  <c r="E53" i="8"/>
  <c r="F3" i="8"/>
  <c r="F6" i="8"/>
  <c r="F13" i="8"/>
  <c r="E14" i="8"/>
  <c r="G14" i="8" s="1"/>
  <c r="F16" i="8"/>
  <c r="E17" i="8"/>
  <c r="G17" i="8" s="1"/>
  <c r="F28" i="8"/>
  <c r="E29" i="8"/>
  <c r="G29" i="8" s="1"/>
  <c r="E30" i="8"/>
  <c r="G30" i="8" s="1"/>
  <c r="E33" i="8"/>
  <c r="G33" i="8" s="1"/>
  <c r="F34" i="8"/>
  <c r="E43" i="8"/>
  <c r="G43" i="8" s="1"/>
  <c r="F46" i="8"/>
  <c r="F48" i="8"/>
  <c r="E49" i="8"/>
  <c r="G49" i="8" s="1"/>
  <c r="F52" i="8"/>
  <c r="F53" i="8"/>
  <c r="E54" i="8"/>
  <c r="F54" i="8"/>
  <c r="E55" i="8"/>
  <c r="F55" i="8"/>
  <c r="E56" i="8"/>
  <c r="F56" i="8"/>
  <c r="E57" i="8"/>
  <c r="F57" i="8"/>
  <c r="E58" i="8"/>
  <c r="F58" i="8"/>
  <c r="E59" i="8"/>
  <c r="F59" i="8"/>
  <c r="E60" i="8"/>
  <c r="F60" i="8"/>
  <c r="E61" i="8"/>
  <c r="F61" i="8"/>
  <c r="E62" i="8"/>
  <c r="F62" i="8"/>
  <c r="E63" i="8"/>
  <c r="G63" i="8" s="1"/>
  <c r="F63" i="8"/>
  <c r="E64" i="8"/>
  <c r="F64" i="8"/>
  <c r="E65" i="8"/>
  <c r="G65" i="8" s="1"/>
  <c r="F65" i="8"/>
  <c r="E66" i="8"/>
  <c r="F66" i="8"/>
  <c r="E67" i="8"/>
  <c r="F67" i="8"/>
  <c r="E68" i="8"/>
  <c r="F68" i="8"/>
  <c r="E69" i="8"/>
  <c r="F69" i="8"/>
  <c r="E70" i="8"/>
  <c r="F70" i="8"/>
  <c r="E71" i="8"/>
  <c r="F71" i="8"/>
  <c r="E72" i="8"/>
  <c r="F72" i="8"/>
  <c r="E73" i="8"/>
  <c r="F73" i="8"/>
  <c r="E74" i="8"/>
  <c r="F74" i="8"/>
  <c r="E75" i="8"/>
  <c r="F75" i="8"/>
  <c r="E76" i="8"/>
  <c r="F76" i="8"/>
  <c r="E77" i="8"/>
  <c r="F77" i="8"/>
  <c r="E78" i="8"/>
  <c r="F78" i="8"/>
  <c r="E79" i="8"/>
  <c r="F79" i="8"/>
  <c r="E80" i="8"/>
  <c r="F80" i="8"/>
  <c r="E81" i="8"/>
  <c r="F81" i="8"/>
  <c r="E82" i="8"/>
  <c r="F82" i="8"/>
  <c r="E83" i="8"/>
  <c r="F83" i="8"/>
  <c r="E84" i="8"/>
  <c r="G84" i="8" s="1"/>
  <c r="F84" i="8"/>
  <c r="E85" i="8"/>
  <c r="F85" i="8"/>
  <c r="E86" i="8"/>
  <c r="F86" i="8"/>
  <c r="E87" i="8"/>
  <c r="F87" i="8"/>
  <c r="E88" i="8"/>
  <c r="F88" i="8"/>
  <c r="E89" i="8"/>
  <c r="F89" i="8"/>
  <c r="E90" i="8"/>
  <c r="F90" i="8"/>
  <c r="E91" i="8"/>
  <c r="F91" i="8"/>
  <c r="E92" i="8"/>
  <c r="F92" i="8"/>
  <c r="E93" i="8"/>
  <c r="F93" i="8"/>
  <c r="E94" i="8"/>
  <c r="G94" i="8" s="1"/>
  <c r="F94" i="8"/>
  <c r="E95" i="8"/>
  <c r="F95" i="8"/>
  <c r="E96" i="8"/>
  <c r="F96" i="8"/>
  <c r="E97" i="8"/>
  <c r="F97" i="8"/>
  <c r="E98" i="8"/>
  <c r="F98" i="8"/>
  <c r="E99" i="8"/>
  <c r="F99" i="8"/>
  <c r="E100" i="8"/>
  <c r="F100" i="8"/>
  <c r="E101" i="8"/>
  <c r="F101" i="8"/>
  <c r="E102" i="8"/>
  <c r="F102" i="8"/>
  <c r="E103" i="8"/>
  <c r="F103" i="8"/>
  <c r="E104" i="8"/>
  <c r="F104" i="8"/>
  <c r="E105" i="8"/>
  <c r="F105" i="8"/>
  <c r="E106" i="8"/>
  <c r="F106" i="8"/>
  <c r="E107" i="8"/>
  <c r="F107" i="8"/>
  <c r="E108" i="8"/>
  <c r="F108" i="8"/>
  <c r="E109" i="8"/>
  <c r="F109" i="8"/>
  <c r="E110" i="8"/>
  <c r="F110" i="8"/>
  <c r="E111" i="8"/>
  <c r="F111" i="8"/>
  <c r="E112" i="8"/>
  <c r="F112" i="8"/>
  <c r="E113" i="8"/>
  <c r="G113" i="8" s="1"/>
  <c r="F113" i="8"/>
  <c r="E114" i="8"/>
  <c r="F114" i="8"/>
  <c r="E115" i="8"/>
  <c r="G115" i="8" s="1"/>
  <c r="F115" i="8"/>
  <c r="E116" i="8"/>
  <c r="F116" i="8"/>
  <c r="E117" i="8"/>
  <c r="F117" i="8"/>
  <c r="E118" i="8"/>
  <c r="G118" i="8" s="1"/>
  <c r="F118" i="8"/>
  <c r="E119" i="8"/>
  <c r="F119" i="8"/>
  <c r="E120" i="8"/>
  <c r="F120" i="8"/>
  <c r="E121" i="8"/>
  <c r="F121" i="8"/>
  <c r="E122" i="8"/>
  <c r="F122" i="8"/>
  <c r="E123" i="8"/>
  <c r="F123" i="8"/>
  <c r="E124" i="8"/>
  <c r="F124" i="8"/>
  <c r="E125" i="8"/>
  <c r="F125" i="8"/>
  <c r="E126" i="8"/>
  <c r="F126" i="8"/>
  <c r="E127" i="8"/>
  <c r="F127" i="8"/>
  <c r="E128" i="8"/>
  <c r="F128" i="8"/>
  <c r="E129" i="8"/>
  <c r="F129" i="8"/>
  <c r="E130" i="8"/>
  <c r="F130" i="8"/>
  <c r="E131" i="8"/>
  <c r="F131" i="8"/>
  <c r="E132" i="8"/>
  <c r="F132" i="8"/>
  <c r="E133" i="8"/>
  <c r="F133" i="8"/>
  <c r="E134" i="8"/>
  <c r="F134" i="8"/>
  <c r="E135" i="8"/>
  <c r="F135" i="8"/>
  <c r="E136" i="8"/>
  <c r="F136" i="8"/>
  <c r="E137" i="8"/>
  <c r="F137" i="8"/>
  <c r="E138" i="8"/>
  <c r="F138" i="8"/>
  <c r="E139" i="8"/>
  <c r="F139" i="8"/>
  <c r="E140" i="8"/>
  <c r="F140" i="8"/>
  <c r="E141" i="8"/>
  <c r="F141" i="8"/>
  <c r="E142" i="8"/>
  <c r="F142" i="8"/>
  <c r="E143" i="8"/>
  <c r="F143" i="8"/>
  <c r="E144" i="8"/>
  <c r="F144" i="8"/>
  <c r="E145" i="8"/>
  <c r="F145" i="8"/>
  <c r="E146" i="8"/>
  <c r="F146" i="8"/>
  <c r="E147" i="8"/>
  <c r="F147" i="8"/>
  <c r="E69" i="7"/>
  <c r="E70" i="7"/>
  <c r="F72" i="7"/>
  <c r="F73" i="7"/>
  <c r="F77" i="7"/>
  <c r="F80" i="7"/>
  <c r="E81" i="7"/>
  <c r="E82" i="7"/>
  <c r="E83" i="7"/>
  <c r="F84" i="7"/>
  <c r="E85" i="7"/>
  <c r="E86" i="7"/>
  <c r="F88" i="7"/>
  <c r="F89" i="7"/>
  <c r="E91" i="7"/>
  <c r="E92" i="7"/>
  <c r="F93" i="7"/>
  <c r="E94" i="7"/>
  <c r="E95" i="7"/>
  <c r="E98" i="7"/>
  <c r="E100" i="7"/>
  <c r="E101" i="7"/>
  <c r="F107" i="7"/>
  <c r="F108" i="7"/>
  <c r="E119" i="7"/>
  <c r="F122" i="7"/>
  <c r="F127" i="7"/>
  <c r="F130" i="7"/>
  <c r="E133" i="7"/>
  <c r="E134" i="7"/>
  <c r="F71" i="7"/>
  <c r="F78" i="7"/>
  <c r="E89" i="7"/>
  <c r="G89" i="7" s="1"/>
  <c r="E90" i="7"/>
  <c r="F96" i="7"/>
  <c r="F100" i="7"/>
  <c r="F103" i="7"/>
  <c r="E108" i="7"/>
  <c r="G108" i="7" s="1"/>
  <c r="E109" i="7"/>
  <c r="F113" i="7"/>
  <c r="F116" i="7"/>
  <c r="F118" i="7"/>
  <c r="F120" i="7"/>
  <c r="E122" i="7"/>
  <c r="G122" i="7" s="1"/>
  <c r="F123" i="7"/>
  <c r="F125" i="7"/>
  <c r="E126" i="7"/>
  <c r="F129" i="7"/>
  <c r="E130" i="7"/>
  <c r="G130" i="7" s="1"/>
  <c r="F131" i="7"/>
  <c r="F132" i="7"/>
  <c r="E135" i="7"/>
  <c r="E136" i="7"/>
  <c r="E137" i="7"/>
  <c r="E139" i="7"/>
  <c r="F141" i="7"/>
  <c r="F145" i="7"/>
  <c r="E146" i="7"/>
  <c r="F146" i="7"/>
  <c r="E147" i="7"/>
  <c r="F70" i="7"/>
  <c r="E71" i="7"/>
  <c r="G71" i="7" s="1"/>
  <c r="E73" i="7"/>
  <c r="G73" i="7" s="1"/>
  <c r="E74" i="7"/>
  <c r="E75" i="7"/>
  <c r="E76" i="7"/>
  <c r="E77" i="7"/>
  <c r="G77" i="7" s="1"/>
  <c r="E79" i="7"/>
  <c r="F87" i="7"/>
  <c r="E88" i="7"/>
  <c r="G88" i="7" s="1"/>
  <c r="F90" i="7"/>
  <c r="F91" i="7"/>
  <c r="F92" i="7"/>
  <c r="F95" i="7"/>
  <c r="F99" i="7"/>
  <c r="E104" i="7"/>
  <c r="F110" i="7"/>
  <c r="F112" i="7"/>
  <c r="E113" i="7"/>
  <c r="G113" i="7" s="1"/>
  <c r="F117" i="7"/>
  <c r="E121" i="7"/>
  <c r="E125" i="7"/>
  <c r="G125" i="7" s="1"/>
  <c r="F128" i="7"/>
  <c r="E131" i="7"/>
  <c r="G131" i="7" s="1"/>
  <c r="F134" i="7"/>
  <c r="F138" i="7"/>
  <c r="F139" i="7"/>
  <c r="F69" i="7"/>
  <c r="F74" i="7"/>
  <c r="F75" i="7"/>
  <c r="F76" i="7"/>
  <c r="F83" i="7"/>
  <c r="E84" i="7"/>
  <c r="G84" i="7" s="1"/>
  <c r="F86" i="7"/>
  <c r="E87" i="7"/>
  <c r="G87" i="7" s="1"/>
  <c r="F94" i="7"/>
  <c r="F97" i="7"/>
  <c r="F101" i="7"/>
  <c r="E102" i="7"/>
  <c r="E103" i="7"/>
  <c r="G103" i="7" s="1"/>
  <c r="F104" i="7"/>
  <c r="E105" i="7"/>
  <c r="E106" i="7"/>
  <c r="E111" i="7"/>
  <c r="E112" i="7"/>
  <c r="G112" i="7" s="1"/>
  <c r="F114" i="7"/>
  <c r="F115" i="7"/>
  <c r="E116" i="7"/>
  <c r="G116" i="7" s="1"/>
  <c r="E117" i="7"/>
  <c r="G117" i="7" s="1"/>
  <c r="E120" i="7"/>
  <c r="G120" i="7" s="1"/>
  <c r="F121" i="7"/>
  <c r="E124" i="7"/>
  <c r="F137" i="7"/>
  <c r="E138" i="7"/>
  <c r="G138" i="7" s="1"/>
  <c r="E142" i="7"/>
  <c r="F142" i="7"/>
  <c r="E143" i="7"/>
  <c r="F143" i="7"/>
  <c r="F149" i="7"/>
  <c r="E2" i="7"/>
  <c r="F2" i="7"/>
  <c r="E3" i="7"/>
  <c r="F3" i="7"/>
  <c r="E4" i="7"/>
  <c r="F4" i="7"/>
  <c r="E5" i="7"/>
  <c r="F5" i="7"/>
  <c r="E6" i="7"/>
  <c r="F6" i="7"/>
  <c r="E7" i="7"/>
  <c r="F7" i="7"/>
  <c r="E8" i="7"/>
  <c r="F8" i="7"/>
  <c r="E9" i="7"/>
  <c r="F9" i="7"/>
  <c r="E10" i="7"/>
  <c r="F10" i="7"/>
  <c r="E11" i="7"/>
  <c r="F11" i="7"/>
  <c r="E12" i="7"/>
  <c r="G12" i="7" s="1"/>
  <c r="F12" i="7"/>
  <c r="E13" i="7"/>
  <c r="F13" i="7"/>
  <c r="E14" i="7"/>
  <c r="F14" i="7"/>
  <c r="E15" i="7"/>
  <c r="F15" i="7"/>
  <c r="E16" i="7"/>
  <c r="F16" i="7"/>
  <c r="E17" i="7"/>
  <c r="F17" i="7"/>
  <c r="E18" i="7"/>
  <c r="F18" i="7"/>
  <c r="E19" i="7"/>
  <c r="F19" i="7"/>
  <c r="E20" i="7"/>
  <c r="F20" i="7"/>
  <c r="E21" i="7"/>
  <c r="F21" i="7"/>
  <c r="E22" i="7"/>
  <c r="F22" i="7"/>
  <c r="E23" i="7"/>
  <c r="F23" i="7"/>
  <c r="E24" i="7"/>
  <c r="F24" i="7"/>
  <c r="E25" i="7"/>
  <c r="F25" i="7"/>
  <c r="E26" i="7"/>
  <c r="F26" i="7"/>
  <c r="E27" i="7"/>
  <c r="F27" i="7"/>
  <c r="E28" i="7"/>
  <c r="F28" i="7"/>
  <c r="E29" i="7"/>
  <c r="F29" i="7"/>
  <c r="E30" i="7"/>
  <c r="F30" i="7"/>
  <c r="E31" i="7"/>
  <c r="F31" i="7"/>
  <c r="E32" i="7"/>
  <c r="F32" i="7"/>
  <c r="E33" i="7"/>
  <c r="F33" i="7"/>
  <c r="E34" i="7"/>
  <c r="F34" i="7"/>
  <c r="E35" i="7"/>
  <c r="F35" i="7"/>
  <c r="E36" i="7"/>
  <c r="F36" i="7"/>
  <c r="E37" i="7"/>
  <c r="F37" i="7"/>
  <c r="E38" i="7"/>
  <c r="F38" i="7"/>
  <c r="E39" i="7"/>
  <c r="F39" i="7"/>
  <c r="E40" i="7"/>
  <c r="F40" i="7"/>
  <c r="E41" i="7"/>
  <c r="F41" i="7"/>
  <c r="E42" i="7"/>
  <c r="F42" i="7"/>
  <c r="E43" i="7"/>
  <c r="F43" i="7"/>
  <c r="E44" i="7"/>
  <c r="F44" i="7"/>
  <c r="E45" i="7"/>
  <c r="F45" i="7"/>
  <c r="E46" i="7"/>
  <c r="F46" i="7"/>
  <c r="E47" i="7"/>
  <c r="F47" i="7"/>
  <c r="E48" i="7"/>
  <c r="F48" i="7"/>
  <c r="E49" i="7"/>
  <c r="F49" i="7"/>
  <c r="E50" i="7"/>
  <c r="F50" i="7"/>
  <c r="E51" i="7"/>
  <c r="F51" i="7"/>
  <c r="E52" i="7"/>
  <c r="F52" i="7"/>
  <c r="E53" i="7"/>
  <c r="F53" i="7"/>
  <c r="E54" i="7"/>
  <c r="F54" i="7"/>
  <c r="E55" i="7"/>
  <c r="F55" i="7"/>
  <c r="E56" i="7"/>
  <c r="F56" i="7"/>
  <c r="E57" i="7"/>
  <c r="F57" i="7"/>
  <c r="E58" i="7"/>
  <c r="F58" i="7"/>
  <c r="E59" i="7"/>
  <c r="F59" i="7"/>
  <c r="E60" i="7"/>
  <c r="F60" i="7"/>
  <c r="E61" i="7"/>
  <c r="F61" i="7"/>
  <c r="E62" i="7"/>
  <c r="F62" i="7"/>
  <c r="E63" i="7"/>
  <c r="F63" i="7"/>
  <c r="E64" i="7"/>
  <c r="F64" i="7"/>
  <c r="E65" i="7"/>
  <c r="F65" i="7"/>
  <c r="E66" i="7"/>
  <c r="F66" i="7"/>
  <c r="E67" i="7"/>
  <c r="F67" i="7"/>
  <c r="E68" i="7"/>
  <c r="F68" i="7"/>
  <c r="E72" i="7"/>
  <c r="G72" i="7" s="1"/>
  <c r="E78" i="7"/>
  <c r="G78" i="7" s="1"/>
  <c r="F79" i="7"/>
  <c r="E80" i="7"/>
  <c r="G80" i="7" s="1"/>
  <c r="F81" i="7"/>
  <c r="F82" i="7"/>
  <c r="F85" i="7"/>
  <c r="E93" i="7"/>
  <c r="G93" i="7" s="1"/>
  <c r="E96" i="7"/>
  <c r="G96" i="7" s="1"/>
  <c r="E97" i="7"/>
  <c r="G97" i="7" s="1"/>
  <c r="F98" i="7"/>
  <c r="E99" i="7"/>
  <c r="G99" i="7" s="1"/>
  <c r="F102" i="7"/>
  <c r="F105" i="7"/>
  <c r="F106" i="7"/>
  <c r="E107" i="7"/>
  <c r="G107" i="7" s="1"/>
  <c r="F109" i="7"/>
  <c r="E110" i="7"/>
  <c r="G110" i="7" s="1"/>
  <c r="F111" i="7"/>
  <c r="E114" i="7"/>
  <c r="G114" i="7" s="1"/>
  <c r="E115" i="7"/>
  <c r="G115" i="7" s="1"/>
  <c r="E118" i="7"/>
  <c r="G118" i="7" s="1"/>
  <c r="F119" i="7"/>
  <c r="E123" i="7"/>
  <c r="G123" i="7" s="1"/>
  <c r="F124" i="7"/>
  <c r="F126" i="7"/>
  <c r="E127" i="7"/>
  <c r="G127" i="7" s="1"/>
  <c r="E128" i="7"/>
  <c r="G128" i="7" s="1"/>
  <c r="E129" i="7"/>
  <c r="G129" i="7" s="1"/>
  <c r="E132" i="7"/>
  <c r="G132" i="7" s="1"/>
  <c r="F133" i="7"/>
  <c r="F135" i="7"/>
  <c r="F136" i="7"/>
  <c r="E140" i="7"/>
  <c r="F140" i="7"/>
  <c r="E141" i="7"/>
  <c r="G141" i="7" s="1"/>
  <c r="E144" i="7"/>
  <c r="F144" i="7"/>
  <c r="E145" i="7"/>
  <c r="G145" i="7" s="1"/>
  <c r="F147" i="7"/>
  <c r="E148" i="7"/>
  <c r="F148" i="7"/>
  <c r="E149" i="7"/>
  <c r="G149" i="7" s="1"/>
  <c r="S32" i="11"/>
  <c r="T32" i="11" s="1"/>
  <c r="S30" i="11"/>
  <c r="T30" i="11" s="1"/>
  <c r="S156" i="11"/>
  <c r="T156" i="11" s="1"/>
  <c r="S155" i="11"/>
  <c r="T155" i="11" s="1"/>
  <c r="S154" i="11"/>
  <c r="T154" i="11" s="1"/>
  <c r="S153" i="11"/>
  <c r="T153" i="11" s="1"/>
  <c r="S152" i="11"/>
  <c r="T152" i="11" s="1"/>
  <c r="S151" i="11"/>
  <c r="T151" i="11" s="1"/>
  <c r="S27" i="11"/>
  <c r="T27" i="11" s="1"/>
  <c r="S28" i="11"/>
  <c r="T28" i="11" s="1"/>
  <c r="S29" i="11"/>
  <c r="T29" i="11" s="1"/>
  <c r="S26" i="11"/>
  <c r="T26" i="11" s="1"/>
  <c r="S31" i="11"/>
  <c r="T31" i="11" s="1"/>
  <c r="E11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F26" i="11" s="1"/>
  <c r="E27" i="11"/>
  <c r="F27" i="11" s="1"/>
  <c r="E28" i="11"/>
  <c r="F28" i="11" s="1"/>
  <c r="E29" i="11"/>
  <c r="F29" i="11" s="1"/>
  <c r="E30" i="11"/>
  <c r="F30" i="11" s="1"/>
  <c r="E31" i="11"/>
  <c r="F31" i="11" s="1"/>
  <c r="E32" i="11"/>
  <c r="F32" i="11" s="1"/>
  <c r="E33" i="11"/>
  <c r="F33" i="11" s="1"/>
  <c r="E35" i="11"/>
  <c r="F35" i="11" s="1"/>
  <c r="E36" i="11"/>
  <c r="F36" i="11" s="1"/>
  <c r="E42" i="11"/>
  <c r="F42" i="11" s="1"/>
  <c r="E46" i="11"/>
  <c r="F46" i="11" s="1"/>
  <c r="E50" i="11"/>
  <c r="F50" i="11" s="1"/>
  <c r="E51" i="11"/>
  <c r="F51" i="11" s="1"/>
  <c r="E52" i="11"/>
  <c r="F52" i="11" s="1"/>
  <c r="E55" i="11"/>
  <c r="F55" i="11" s="1"/>
  <c r="E61" i="11"/>
  <c r="F61" i="11" s="1"/>
  <c r="E62" i="11"/>
  <c r="F62" i="11" s="1"/>
  <c r="E63" i="11"/>
  <c r="F63" i="11" s="1"/>
  <c r="E64" i="11"/>
  <c r="F64" i="11" s="1"/>
  <c r="E65" i="11"/>
  <c r="F65" i="11" s="1"/>
  <c r="E66" i="11"/>
  <c r="F66" i="11" s="1"/>
  <c r="E67" i="11"/>
  <c r="F67" i="11" s="1"/>
  <c r="E68" i="11"/>
  <c r="F68" i="11" s="1"/>
  <c r="E69" i="11"/>
  <c r="F69" i="11" s="1"/>
  <c r="E70" i="11"/>
  <c r="F70" i="11" s="1"/>
  <c r="E71" i="11"/>
  <c r="F71" i="11" s="1"/>
  <c r="E72" i="11"/>
  <c r="F72" i="11" s="1"/>
  <c r="E73" i="11"/>
  <c r="F73" i="11" s="1"/>
  <c r="E74" i="11"/>
  <c r="F74" i="11" s="1"/>
  <c r="E75" i="11"/>
  <c r="F75" i="11" s="1"/>
  <c r="E76" i="11"/>
  <c r="F76" i="11" s="1"/>
  <c r="E77" i="11"/>
  <c r="F77" i="11" s="1"/>
  <c r="E78" i="11"/>
  <c r="F78" i="11" s="1"/>
  <c r="E79" i="11"/>
  <c r="F79" i="11" s="1"/>
  <c r="E80" i="11"/>
  <c r="F80" i="11" s="1"/>
  <c r="E81" i="11"/>
  <c r="F81" i="11" s="1"/>
  <c r="E82" i="11"/>
  <c r="F82" i="11" s="1"/>
  <c r="E83" i="11"/>
  <c r="F83" i="11" s="1"/>
  <c r="E84" i="11"/>
  <c r="F84" i="11" s="1"/>
  <c r="E85" i="11"/>
  <c r="F85" i="11" s="1"/>
  <c r="E86" i="11"/>
  <c r="F86" i="11" s="1"/>
  <c r="E87" i="11"/>
  <c r="F87" i="11" s="1"/>
  <c r="E88" i="11"/>
  <c r="F88" i="11" s="1"/>
  <c r="E89" i="11"/>
  <c r="F89" i="11" s="1"/>
  <c r="E90" i="11"/>
  <c r="F90" i="11" s="1"/>
  <c r="E91" i="11"/>
  <c r="F91" i="11" s="1"/>
  <c r="E92" i="11"/>
  <c r="F92" i="11" s="1"/>
  <c r="E93" i="11"/>
  <c r="F93" i="11" s="1"/>
  <c r="E94" i="11"/>
  <c r="F94" i="11" s="1"/>
  <c r="E40" i="11"/>
  <c r="F40" i="11" s="1"/>
  <c r="E41" i="11"/>
  <c r="F41" i="11" s="1"/>
  <c r="E47" i="11"/>
  <c r="F47" i="11" s="1"/>
  <c r="E48" i="11"/>
  <c r="F48" i="11" s="1"/>
  <c r="E49" i="11"/>
  <c r="F49" i="11" s="1"/>
  <c r="E56" i="11"/>
  <c r="F56" i="11" s="1"/>
  <c r="E57" i="11"/>
  <c r="F57" i="11" s="1"/>
  <c r="E99" i="11"/>
  <c r="F99" i="11" s="1"/>
  <c r="E100" i="11"/>
  <c r="F100" i="11" s="1"/>
  <c r="E103" i="11"/>
  <c r="F103" i="11" s="1"/>
  <c r="E106" i="11"/>
  <c r="F106" i="11" s="1"/>
  <c r="E108" i="11"/>
  <c r="F108" i="11" s="1"/>
  <c r="E112" i="11"/>
  <c r="F112" i="11" s="1"/>
  <c r="E113" i="11"/>
  <c r="F113" i="11" s="1"/>
  <c r="E115" i="11"/>
  <c r="F115" i="11" s="1"/>
  <c r="E116" i="11"/>
  <c r="F116" i="11" s="1"/>
  <c r="E118" i="11"/>
  <c r="F118" i="11" s="1"/>
  <c r="E120" i="11"/>
  <c r="F120" i="11" s="1"/>
  <c r="E127" i="11"/>
  <c r="F127" i="11" s="1"/>
  <c r="E128" i="11"/>
  <c r="F128" i="11" s="1"/>
  <c r="E129" i="11"/>
  <c r="F129" i="11" s="1"/>
  <c r="E130" i="11"/>
  <c r="F130" i="11" s="1"/>
  <c r="E134" i="11"/>
  <c r="F134" i="11" s="1"/>
  <c r="E137" i="11"/>
  <c r="F137" i="11" s="1"/>
  <c r="E143" i="11"/>
  <c r="F143" i="11" s="1"/>
  <c r="E146" i="11"/>
  <c r="F146" i="11" s="1"/>
  <c r="E34" i="11"/>
  <c r="F34" i="11" s="1"/>
  <c r="E37" i="11"/>
  <c r="F37" i="11" s="1"/>
  <c r="E44" i="11"/>
  <c r="F44" i="11" s="1"/>
  <c r="E53" i="11"/>
  <c r="F53" i="11" s="1"/>
  <c r="E59" i="11"/>
  <c r="F59" i="11" s="1"/>
  <c r="E60" i="11"/>
  <c r="F60" i="11" s="1"/>
  <c r="E95" i="11"/>
  <c r="F95" i="11" s="1"/>
  <c r="E96" i="11"/>
  <c r="F96" i="11" s="1"/>
  <c r="E97" i="11"/>
  <c r="F97" i="11" s="1"/>
  <c r="E98" i="11"/>
  <c r="F98" i="11" s="1"/>
  <c r="E101" i="11"/>
  <c r="F101" i="11" s="1"/>
  <c r="E102" i="11"/>
  <c r="F102" i="11" s="1"/>
  <c r="E104" i="11"/>
  <c r="F104" i="11" s="1"/>
  <c r="E105" i="11"/>
  <c r="F105" i="11" s="1"/>
  <c r="E107" i="11"/>
  <c r="F107" i="11" s="1"/>
  <c r="E109" i="11"/>
  <c r="F109" i="11" s="1"/>
  <c r="E110" i="11"/>
  <c r="F110" i="11" s="1"/>
  <c r="E111" i="11"/>
  <c r="F111" i="11" s="1"/>
  <c r="E114" i="11"/>
  <c r="F114" i="11" s="1"/>
  <c r="E117" i="11"/>
  <c r="F117" i="11" s="1"/>
  <c r="E119" i="11"/>
  <c r="F119" i="11" s="1"/>
  <c r="E121" i="11"/>
  <c r="F121" i="11" s="1"/>
  <c r="E122" i="11"/>
  <c r="F122" i="11" s="1"/>
  <c r="E123" i="11"/>
  <c r="F123" i="11" s="1"/>
  <c r="E124" i="11"/>
  <c r="F124" i="11" s="1"/>
  <c r="E125" i="11"/>
  <c r="F125" i="11" s="1"/>
  <c r="E126" i="11"/>
  <c r="F126" i="11" s="1"/>
  <c r="E131" i="11"/>
  <c r="F131" i="11" s="1"/>
  <c r="E132" i="11"/>
  <c r="F132" i="11" s="1"/>
  <c r="E133" i="11"/>
  <c r="F133" i="11" s="1"/>
  <c r="E135" i="11"/>
  <c r="F135" i="11" s="1"/>
  <c r="E136" i="11"/>
  <c r="F136" i="11" s="1"/>
  <c r="E138" i="11"/>
  <c r="F138" i="11" s="1"/>
  <c r="E139" i="11"/>
  <c r="F139" i="11" s="1"/>
  <c r="E140" i="11"/>
  <c r="F140" i="11" s="1"/>
  <c r="E141" i="11"/>
  <c r="F141" i="11" s="1"/>
  <c r="E142" i="11"/>
  <c r="F142" i="11" s="1"/>
  <c r="E144" i="11"/>
  <c r="F144" i="11" s="1"/>
  <c r="E145" i="11"/>
  <c r="F145" i="11" s="1"/>
  <c r="E147" i="11"/>
  <c r="F147" i="11" s="1"/>
  <c r="E148" i="11"/>
  <c r="F148" i="11" s="1"/>
  <c r="E149" i="11"/>
  <c r="F149" i="11" s="1"/>
  <c r="E150" i="11"/>
  <c r="E151" i="11"/>
  <c r="E152" i="11"/>
  <c r="E153" i="11"/>
  <c r="E154" i="11"/>
  <c r="E155" i="11"/>
  <c r="E156" i="11"/>
  <c r="E43" i="11"/>
  <c r="F43" i="11" s="1"/>
  <c r="E45" i="11"/>
  <c r="F45" i="11" s="1"/>
  <c r="E54" i="11"/>
  <c r="F54" i="11" s="1"/>
  <c r="E58" i="11"/>
  <c r="F58" i="11" s="1"/>
  <c r="E38" i="11"/>
  <c r="F38" i="11" s="1"/>
  <c r="E39" i="11"/>
  <c r="F39" i="11" s="1"/>
  <c r="E2" i="5"/>
  <c r="F2" i="5"/>
  <c r="E3" i="5"/>
  <c r="F3" i="5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F76" i="5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E91" i="5"/>
  <c r="F91" i="5"/>
  <c r="E92" i="5"/>
  <c r="F92" i="5"/>
  <c r="E93" i="5"/>
  <c r="F93" i="5"/>
  <c r="E94" i="5"/>
  <c r="F94" i="5"/>
  <c r="E95" i="5"/>
  <c r="F95" i="5"/>
  <c r="E96" i="5"/>
  <c r="F96" i="5"/>
  <c r="E97" i="5"/>
  <c r="F97" i="5"/>
  <c r="E98" i="5"/>
  <c r="F98" i="5"/>
  <c r="E99" i="5"/>
  <c r="F99" i="5"/>
  <c r="E100" i="5"/>
  <c r="F100" i="5"/>
  <c r="E101" i="5"/>
  <c r="F101" i="5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9" i="5"/>
  <c r="F109" i="5"/>
  <c r="E110" i="5"/>
  <c r="F110" i="5"/>
  <c r="E111" i="5"/>
  <c r="F111" i="5"/>
  <c r="E112" i="5"/>
  <c r="F112" i="5"/>
  <c r="E113" i="5"/>
  <c r="F113" i="5"/>
  <c r="E114" i="5"/>
  <c r="F114" i="5"/>
  <c r="E115" i="5"/>
  <c r="F115" i="5"/>
  <c r="E116" i="5"/>
  <c r="F116" i="5"/>
  <c r="E117" i="5"/>
  <c r="F117" i="5"/>
  <c r="E118" i="5"/>
  <c r="F118" i="5"/>
  <c r="E119" i="5"/>
  <c r="F119" i="5"/>
  <c r="E120" i="5"/>
  <c r="F120" i="5"/>
  <c r="E121" i="5"/>
  <c r="F121" i="5"/>
  <c r="E122" i="5"/>
  <c r="F122" i="5"/>
  <c r="E123" i="5"/>
  <c r="F123" i="5"/>
  <c r="E124" i="5"/>
  <c r="F124" i="5"/>
  <c r="E125" i="5"/>
  <c r="F125" i="5"/>
  <c r="E126" i="5"/>
  <c r="F126" i="5"/>
  <c r="E127" i="5"/>
  <c r="F127" i="5"/>
  <c r="E128" i="5"/>
  <c r="F128" i="5"/>
  <c r="E129" i="5"/>
  <c r="F129" i="5"/>
  <c r="E130" i="5"/>
  <c r="F130" i="5"/>
  <c r="E131" i="5"/>
  <c r="F131" i="5"/>
  <c r="E132" i="5"/>
  <c r="F132" i="5"/>
  <c r="E133" i="5"/>
  <c r="F133" i="5"/>
  <c r="E134" i="5"/>
  <c r="F134" i="5"/>
  <c r="E135" i="5"/>
  <c r="F135" i="5"/>
  <c r="E136" i="5"/>
  <c r="F136" i="5"/>
  <c r="E137" i="5"/>
  <c r="F137" i="5"/>
  <c r="E138" i="5"/>
  <c r="F138" i="5"/>
  <c r="E139" i="5"/>
  <c r="F139" i="5"/>
  <c r="E140" i="5"/>
  <c r="F140" i="5"/>
  <c r="E141" i="5"/>
  <c r="G141" i="5" s="1"/>
  <c r="F141" i="5"/>
  <c r="E142" i="5"/>
  <c r="F142" i="5"/>
  <c r="E143" i="5"/>
  <c r="F143" i="5"/>
  <c r="E144" i="5"/>
  <c r="F144" i="5"/>
  <c r="E145" i="5"/>
  <c r="F145" i="5"/>
  <c r="E146" i="5"/>
  <c r="F146" i="5"/>
  <c r="E147" i="5"/>
  <c r="F147" i="5"/>
  <c r="F109" i="4"/>
  <c r="F112" i="4"/>
  <c r="F110" i="4"/>
  <c r="F111" i="4"/>
  <c r="E112" i="4"/>
  <c r="G112" i="4" s="1"/>
  <c r="E110" i="4"/>
  <c r="G110" i="4" s="1"/>
  <c r="E2" i="4"/>
  <c r="G2" i="4" s="1"/>
  <c r="F2" i="4"/>
  <c r="E3" i="4"/>
  <c r="F3" i="4"/>
  <c r="E4" i="4"/>
  <c r="F4" i="4"/>
  <c r="E5" i="4"/>
  <c r="F5" i="4"/>
  <c r="E6" i="4"/>
  <c r="F6" i="4"/>
  <c r="E7" i="4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E18" i="4"/>
  <c r="F18" i="4"/>
  <c r="E19" i="4"/>
  <c r="F19" i="4"/>
  <c r="E20" i="4"/>
  <c r="F20" i="4"/>
  <c r="E21" i="4"/>
  <c r="F21" i="4"/>
  <c r="E22" i="4"/>
  <c r="F22" i="4"/>
  <c r="E23" i="4"/>
  <c r="F23" i="4"/>
  <c r="E24" i="4"/>
  <c r="F24" i="4"/>
  <c r="E25" i="4"/>
  <c r="F25" i="4"/>
  <c r="E26" i="4"/>
  <c r="F26" i="4"/>
  <c r="E27" i="4"/>
  <c r="F27" i="4"/>
  <c r="E28" i="4"/>
  <c r="F28" i="4"/>
  <c r="E29" i="4"/>
  <c r="F29" i="4"/>
  <c r="E30" i="4"/>
  <c r="F30" i="4"/>
  <c r="E31" i="4"/>
  <c r="F31" i="4"/>
  <c r="E32" i="4"/>
  <c r="F32" i="4"/>
  <c r="E33" i="4"/>
  <c r="F33" i="4"/>
  <c r="E34" i="4"/>
  <c r="F34" i="4"/>
  <c r="E35" i="4"/>
  <c r="F35" i="4"/>
  <c r="E36" i="4"/>
  <c r="F36" i="4"/>
  <c r="E37" i="4"/>
  <c r="F37" i="4"/>
  <c r="E38" i="4"/>
  <c r="F38" i="4"/>
  <c r="E39" i="4"/>
  <c r="F39" i="4"/>
  <c r="E40" i="4"/>
  <c r="F40" i="4"/>
  <c r="E41" i="4"/>
  <c r="F41" i="4"/>
  <c r="E42" i="4"/>
  <c r="F42" i="4"/>
  <c r="E43" i="4"/>
  <c r="F43" i="4"/>
  <c r="E44" i="4"/>
  <c r="F44" i="4"/>
  <c r="E45" i="4"/>
  <c r="F45" i="4"/>
  <c r="E46" i="4"/>
  <c r="F46" i="4"/>
  <c r="E47" i="4"/>
  <c r="F47" i="4"/>
  <c r="E48" i="4"/>
  <c r="F48" i="4"/>
  <c r="E49" i="4"/>
  <c r="F49" i="4"/>
  <c r="E50" i="4"/>
  <c r="F50" i="4"/>
  <c r="E51" i="4"/>
  <c r="F51" i="4"/>
  <c r="E52" i="4"/>
  <c r="F52" i="4"/>
  <c r="E53" i="4"/>
  <c r="F53" i="4"/>
  <c r="E54" i="4"/>
  <c r="F54" i="4"/>
  <c r="E55" i="4"/>
  <c r="F55" i="4"/>
  <c r="E56" i="4"/>
  <c r="F56" i="4"/>
  <c r="E57" i="4"/>
  <c r="F57" i="4"/>
  <c r="E58" i="4"/>
  <c r="F58" i="4"/>
  <c r="E59" i="4"/>
  <c r="F59" i="4"/>
  <c r="E60" i="4"/>
  <c r="F60" i="4"/>
  <c r="E61" i="4"/>
  <c r="F61" i="4"/>
  <c r="E62" i="4"/>
  <c r="F62" i="4"/>
  <c r="E63" i="4"/>
  <c r="F63" i="4"/>
  <c r="E64" i="4"/>
  <c r="F64" i="4"/>
  <c r="E65" i="4"/>
  <c r="F65" i="4"/>
  <c r="E66" i="4"/>
  <c r="F66" i="4"/>
  <c r="E67" i="4"/>
  <c r="F67" i="4"/>
  <c r="E68" i="4"/>
  <c r="F68" i="4"/>
  <c r="E69" i="4"/>
  <c r="F69" i="4"/>
  <c r="E70" i="4"/>
  <c r="F70" i="4"/>
  <c r="E71" i="4"/>
  <c r="F71" i="4"/>
  <c r="E72" i="4"/>
  <c r="F72" i="4"/>
  <c r="E73" i="4"/>
  <c r="F73" i="4"/>
  <c r="E74" i="4"/>
  <c r="F74" i="4"/>
  <c r="E75" i="4"/>
  <c r="F75" i="4"/>
  <c r="E76" i="4"/>
  <c r="F76" i="4"/>
  <c r="E77" i="4"/>
  <c r="F77" i="4"/>
  <c r="E78" i="4"/>
  <c r="F78" i="4"/>
  <c r="E79" i="4"/>
  <c r="F79" i="4"/>
  <c r="E80" i="4"/>
  <c r="F80" i="4"/>
  <c r="E81" i="4"/>
  <c r="F81" i="4"/>
  <c r="E82" i="4"/>
  <c r="F82" i="4"/>
  <c r="E83" i="4"/>
  <c r="F83" i="4"/>
  <c r="E84" i="4"/>
  <c r="F84" i="4"/>
  <c r="E85" i="4"/>
  <c r="F85" i="4"/>
  <c r="E86" i="4"/>
  <c r="F86" i="4"/>
  <c r="E87" i="4"/>
  <c r="F87" i="4"/>
  <c r="E88" i="4"/>
  <c r="F88" i="4"/>
  <c r="E89" i="4"/>
  <c r="F89" i="4"/>
  <c r="E90" i="4"/>
  <c r="F90" i="4"/>
  <c r="E91" i="4"/>
  <c r="F91" i="4"/>
  <c r="E92" i="4"/>
  <c r="F92" i="4"/>
  <c r="E93" i="4"/>
  <c r="F93" i="4"/>
  <c r="E94" i="4"/>
  <c r="F94" i="4"/>
  <c r="E95" i="4"/>
  <c r="F95" i="4"/>
  <c r="E96" i="4"/>
  <c r="F96" i="4"/>
  <c r="E97" i="4"/>
  <c r="F97" i="4"/>
  <c r="E98" i="4"/>
  <c r="F98" i="4"/>
  <c r="E99" i="4"/>
  <c r="F99" i="4"/>
  <c r="E100" i="4"/>
  <c r="F100" i="4"/>
  <c r="E101" i="4"/>
  <c r="F101" i="4"/>
  <c r="E102" i="4"/>
  <c r="F102" i="4"/>
  <c r="E103" i="4"/>
  <c r="F103" i="4"/>
  <c r="E104" i="4"/>
  <c r="F104" i="4"/>
  <c r="E105" i="4"/>
  <c r="F105" i="4"/>
  <c r="E106" i="4"/>
  <c r="F106" i="4"/>
  <c r="E107" i="4"/>
  <c r="F107" i="4"/>
  <c r="E108" i="4"/>
  <c r="F108" i="4"/>
  <c r="E109" i="4"/>
  <c r="E111" i="4"/>
  <c r="E113" i="4"/>
  <c r="F113" i="4"/>
  <c r="E114" i="4"/>
  <c r="F114" i="4"/>
  <c r="E115" i="4"/>
  <c r="F115" i="4"/>
  <c r="E116" i="4"/>
  <c r="F116" i="4"/>
  <c r="E117" i="4"/>
  <c r="F117" i="4"/>
  <c r="E118" i="4"/>
  <c r="F118" i="4"/>
  <c r="E119" i="4"/>
  <c r="F119" i="4"/>
  <c r="E120" i="4"/>
  <c r="F120" i="4"/>
  <c r="E121" i="4"/>
  <c r="F121" i="4"/>
  <c r="E122" i="4"/>
  <c r="F122" i="4"/>
  <c r="E123" i="4"/>
  <c r="F123" i="4"/>
  <c r="E124" i="4"/>
  <c r="F124" i="4"/>
  <c r="E125" i="4"/>
  <c r="F125" i="4"/>
  <c r="E126" i="4"/>
  <c r="F126" i="4"/>
  <c r="E127" i="4"/>
  <c r="F127" i="4"/>
  <c r="E128" i="4"/>
  <c r="F128" i="4"/>
  <c r="E129" i="4"/>
  <c r="F129" i="4"/>
  <c r="E130" i="4"/>
  <c r="F130" i="4"/>
  <c r="E131" i="4"/>
  <c r="F131" i="4"/>
  <c r="E132" i="4"/>
  <c r="F132" i="4"/>
  <c r="E133" i="4"/>
  <c r="F133" i="4"/>
  <c r="E134" i="4"/>
  <c r="F134" i="4"/>
  <c r="E135" i="4"/>
  <c r="F135" i="4"/>
  <c r="E136" i="4"/>
  <c r="F136" i="4"/>
  <c r="E137" i="4"/>
  <c r="F137" i="4"/>
  <c r="E138" i="4"/>
  <c r="F138" i="4"/>
  <c r="E139" i="4"/>
  <c r="F139" i="4"/>
  <c r="E140" i="4"/>
  <c r="F140" i="4"/>
  <c r="E141" i="4"/>
  <c r="F141" i="4"/>
  <c r="E142" i="4"/>
  <c r="F142" i="4"/>
  <c r="E143" i="4"/>
  <c r="F143" i="4"/>
  <c r="E144" i="4"/>
  <c r="F144" i="4"/>
  <c r="E145" i="4"/>
  <c r="F145" i="4"/>
  <c r="E146" i="4"/>
  <c r="F146" i="4"/>
  <c r="E147" i="4"/>
  <c r="F147" i="4"/>
  <c r="E148" i="4"/>
  <c r="F148" i="4"/>
  <c r="E149" i="4"/>
  <c r="F149" i="4"/>
  <c r="E150" i="4"/>
  <c r="F150" i="4"/>
  <c r="G2" i="3"/>
  <c r="H2" i="3"/>
  <c r="G3" i="3"/>
  <c r="H3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I50" i="3" s="1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G131" i="3"/>
  <c r="H131" i="3"/>
  <c r="G132" i="3"/>
  <c r="H132" i="3"/>
  <c r="G133" i="3"/>
  <c r="H133" i="3"/>
  <c r="G134" i="3"/>
  <c r="H134" i="3"/>
  <c r="G135" i="3"/>
  <c r="H135" i="3"/>
  <c r="G136" i="3"/>
  <c r="H136" i="3"/>
  <c r="G137" i="3"/>
  <c r="I137" i="3" s="1"/>
  <c r="H137" i="3"/>
  <c r="G138" i="3"/>
  <c r="H138" i="3"/>
  <c r="G139" i="3"/>
  <c r="H139" i="3"/>
  <c r="G140" i="3"/>
  <c r="H140" i="3"/>
  <c r="G141" i="3"/>
  <c r="H141" i="3"/>
  <c r="G142" i="3"/>
  <c r="H142" i="3"/>
  <c r="G143" i="3"/>
  <c r="H143" i="3"/>
  <c r="G144" i="3"/>
  <c r="H144" i="3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E152" i="2"/>
  <c r="F152" i="2"/>
  <c r="F4" i="2"/>
  <c r="E8" i="2"/>
  <c r="G8" i="2" s="1"/>
  <c r="G152" i="2"/>
  <c r="F7" i="2"/>
  <c r="E7" i="2"/>
  <c r="G7" i="2" s="1"/>
  <c r="F6" i="2"/>
  <c r="E6" i="2"/>
  <c r="F5" i="2"/>
  <c r="E5" i="2"/>
  <c r="G5" i="2" s="1"/>
  <c r="E4" i="2"/>
  <c r="G4" i="2" s="1"/>
  <c r="E3" i="2"/>
  <c r="F2" i="2"/>
  <c r="E2" i="2"/>
  <c r="F3" i="2"/>
  <c r="E2" i="1"/>
  <c r="F2" i="1"/>
  <c r="E3" i="1"/>
  <c r="F3" i="1"/>
  <c r="E4" i="1"/>
  <c r="F4" i="1"/>
  <c r="E5" i="1"/>
  <c r="F5" i="1"/>
  <c r="E6" i="1"/>
  <c r="F6" i="1"/>
  <c r="E7" i="1"/>
  <c r="F7" i="1"/>
  <c r="E8" i="1"/>
  <c r="F8" i="1"/>
  <c r="E9" i="1"/>
  <c r="F9" i="1"/>
  <c r="E10" i="1"/>
  <c r="F10" i="1"/>
  <c r="E11" i="1"/>
  <c r="F11" i="1"/>
  <c r="E12" i="1"/>
  <c r="F12" i="1"/>
  <c r="E13" i="1"/>
  <c r="F13" i="1"/>
  <c r="E14" i="1"/>
  <c r="F14" i="1"/>
  <c r="E15" i="1"/>
  <c r="F15" i="1"/>
  <c r="E16" i="1"/>
  <c r="F16" i="1"/>
  <c r="E17" i="1"/>
  <c r="F17" i="1"/>
  <c r="E18" i="1"/>
  <c r="F18" i="1"/>
  <c r="E19" i="1"/>
  <c r="F19" i="1"/>
  <c r="E20" i="1"/>
  <c r="G20" i="1" s="1"/>
  <c r="F20" i="1"/>
  <c r="E21" i="1"/>
  <c r="F21" i="1"/>
  <c r="E22" i="1"/>
  <c r="F22" i="1"/>
  <c r="E23" i="1"/>
  <c r="F23" i="1"/>
  <c r="E24" i="1"/>
  <c r="F24" i="1"/>
  <c r="E25" i="1"/>
  <c r="F25" i="1"/>
  <c r="E26" i="1"/>
  <c r="F26" i="1"/>
  <c r="E27" i="1"/>
  <c r="F27" i="1"/>
  <c r="E28" i="1"/>
  <c r="F28" i="1"/>
  <c r="E29" i="1"/>
  <c r="F29" i="1"/>
  <c r="E30" i="1"/>
  <c r="F30" i="1"/>
  <c r="E31" i="1"/>
  <c r="F31" i="1"/>
  <c r="E32" i="1"/>
  <c r="F32" i="1"/>
  <c r="E33" i="1"/>
  <c r="F33" i="1"/>
  <c r="E34" i="1"/>
  <c r="G34" i="1" s="1"/>
  <c r="F34" i="1"/>
  <c r="E35" i="1"/>
  <c r="G35" i="1" s="1"/>
  <c r="F35" i="1"/>
  <c r="E36" i="1"/>
  <c r="F36" i="1"/>
  <c r="E37" i="1"/>
  <c r="G37" i="1" s="1"/>
  <c r="F37" i="1"/>
  <c r="E38" i="1"/>
  <c r="F38" i="1"/>
  <c r="E39" i="1"/>
  <c r="F39" i="1"/>
  <c r="E40" i="1"/>
  <c r="F40" i="1"/>
  <c r="E41" i="1"/>
  <c r="F41" i="1"/>
  <c r="E42" i="1"/>
  <c r="F42" i="1"/>
  <c r="E43" i="1"/>
  <c r="F43" i="1"/>
  <c r="E44" i="1"/>
  <c r="F44" i="1"/>
  <c r="E45" i="1"/>
  <c r="F45" i="1"/>
  <c r="E46" i="1"/>
  <c r="F46" i="1"/>
  <c r="E47" i="1"/>
  <c r="G47" i="1" s="1"/>
  <c r="F47" i="1"/>
  <c r="E48" i="1"/>
  <c r="F48" i="1"/>
  <c r="E49" i="1"/>
  <c r="F49" i="1"/>
  <c r="E50" i="1"/>
  <c r="F50" i="1"/>
  <c r="E51" i="1"/>
  <c r="F51" i="1"/>
  <c r="E52" i="1"/>
  <c r="F52" i="1"/>
  <c r="E53" i="1"/>
  <c r="F53" i="1"/>
  <c r="E54" i="1"/>
  <c r="F54" i="1"/>
  <c r="E55" i="1"/>
  <c r="F55" i="1"/>
  <c r="E56" i="1"/>
  <c r="F56" i="1"/>
  <c r="E57" i="1"/>
  <c r="F57" i="1"/>
  <c r="E58" i="1"/>
  <c r="F58" i="1"/>
  <c r="E59" i="1"/>
  <c r="F59" i="1"/>
  <c r="E60" i="1"/>
  <c r="G60" i="1" s="1"/>
  <c r="F60" i="1"/>
  <c r="E61" i="1"/>
  <c r="F61" i="1"/>
  <c r="E62" i="1"/>
  <c r="F62" i="1"/>
  <c r="E63" i="1"/>
  <c r="G63" i="1" s="1"/>
  <c r="F63" i="1"/>
  <c r="E64" i="1"/>
  <c r="G64" i="1" s="1"/>
  <c r="F64" i="1"/>
  <c r="E65" i="1"/>
  <c r="F65" i="1"/>
  <c r="E66" i="1"/>
  <c r="F66" i="1"/>
  <c r="E67" i="1"/>
  <c r="F67" i="1"/>
  <c r="E68" i="1"/>
  <c r="F68" i="1"/>
  <c r="E69" i="1"/>
  <c r="F69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E79" i="1"/>
  <c r="F79" i="1"/>
  <c r="E80" i="1"/>
  <c r="F80" i="1"/>
  <c r="E81" i="1"/>
  <c r="F81" i="1"/>
  <c r="E82" i="1"/>
  <c r="F82" i="1"/>
  <c r="E83" i="1"/>
  <c r="F83" i="1"/>
  <c r="E84" i="1"/>
  <c r="F84" i="1"/>
  <c r="E85" i="1"/>
  <c r="F85" i="1"/>
  <c r="E86" i="1"/>
  <c r="F86" i="1"/>
  <c r="E87" i="1"/>
  <c r="F87" i="1"/>
  <c r="E88" i="1"/>
  <c r="F88" i="1"/>
  <c r="E89" i="1"/>
  <c r="F89" i="1"/>
  <c r="E90" i="1"/>
  <c r="F90" i="1"/>
  <c r="E91" i="1"/>
  <c r="F91" i="1"/>
  <c r="E92" i="1"/>
  <c r="F92" i="1"/>
  <c r="E93" i="1"/>
  <c r="F93" i="1"/>
  <c r="E94" i="1"/>
  <c r="F94" i="1"/>
  <c r="E95" i="1"/>
  <c r="F95" i="1"/>
  <c r="E96" i="1"/>
  <c r="F96" i="1"/>
  <c r="E97" i="1"/>
  <c r="F97" i="1"/>
  <c r="E98" i="1"/>
  <c r="G98" i="1" s="1"/>
  <c r="F98" i="1"/>
  <c r="E99" i="1"/>
  <c r="F99" i="1"/>
  <c r="E100" i="1"/>
  <c r="F100" i="1"/>
  <c r="E101" i="1"/>
  <c r="F101" i="1"/>
  <c r="E102" i="1"/>
  <c r="F102" i="1"/>
  <c r="E103" i="1"/>
  <c r="G103" i="1" s="1"/>
  <c r="F103" i="1"/>
  <c r="E104" i="1"/>
  <c r="F104" i="1"/>
  <c r="E105" i="1"/>
  <c r="F105" i="1"/>
  <c r="E106" i="1"/>
  <c r="F106" i="1"/>
  <c r="E107" i="1"/>
  <c r="F107" i="1"/>
  <c r="E108" i="1"/>
  <c r="F108" i="1"/>
  <c r="E109" i="1"/>
  <c r="F109" i="1"/>
  <c r="E110" i="1"/>
  <c r="F110" i="1"/>
  <c r="E111" i="1"/>
  <c r="F111" i="1"/>
  <c r="E112" i="1"/>
  <c r="F112" i="1"/>
  <c r="E113" i="1"/>
  <c r="F113" i="1"/>
  <c r="E114" i="1"/>
  <c r="F114" i="1"/>
  <c r="E115" i="1"/>
  <c r="F115" i="1"/>
  <c r="E116" i="1"/>
  <c r="F116" i="1"/>
  <c r="E117" i="1"/>
  <c r="F117" i="1"/>
  <c r="E118" i="1"/>
  <c r="F118" i="1"/>
  <c r="E119" i="1"/>
  <c r="F119" i="1"/>
  <c r="E120" i="1"/>
  <c r="F120" i="1"/>
  <c r="E121" i="1"/>
  <c r="F121" i="1"/>
  <c r="E122" i="1"/>
  <c r="F122" i="1"/>
  <c r="E123" i="1"/>
  <c r="F123" i="1"/>
  <c r="E124" i="1"/>
  <c r="G124" i="1" s="1"/>
  <c r="F124" i="1"/>
  <c r="E125" i="1"/>
  <c r="F125" i="1"/>
  <c r="E126" i="1"/>
  <c r="F126" i="1"/>
  <c r="E127" i="1"/>
  <c r="F127" i="1"/>
  <c r="E128" i="1"/>
  <c r="F128" i="1"/>
  <c r="E129" i="1"/>
  <c r="F129" i="1"/>
  <c r="E130" i="1"/>
  <c r="F130" i="1"/>
  <c r="E131" i="1"/>
  <c r="F131" i="1"/>
  <c r="E132" i="1"/>
  <c r="F132" i="1"/>
  <c r="E133" i="1"/>
  <c r="G133" i="1" s="1"/>
  <c r="F133" i="1"/>
  <c r="E134" i="1"/>
  <c r="F134" i="1"/>
  <c r="E135" i="1"/>
  <c r="F135" i="1"/>
  <c r="E136" i="1"/>
  <c r="F136" i="1"/>
  <c r="E137" i="1"/>
  <c r="F137" i="1"/>
  <c r="E138" i="1"/>
  <c r="F138" i="1"/>
  <c r="E139" i="1"/>
  <c r="F139" i="1"/>
  <c r="E140" i="1"/>
  <c r="G140" i="1" s="1"/>
  <c r="F140" i="1"/>
  <c r="E141" i="1"/>
  <c r="F141" i="1"/>
  <c r="E142" i="1"/>
  <c r="F142" i="1"/>
  <c r="E143" i="1"/>
  <c r="F143" i="1"/>
  <c r="E144" i="1"/>
  <c r="F144" i="1"/>
  <c r="E145" i="1"/>
  <c r="F145" i="1"/>
  <c r="E146" i="1"/>
  <c r="F146" i="1"/>
  <c r="E147" i="1"/>
  <c r="F147" i="1"/>
  <c r="E148" i="1"/>
  <c r="F148" i="1"/>
  <c r="E55" i="10"/>
  <c r="G54" i="10"/>
  <c r="F54" i="10"/>
  <c r="E54" i="10"/>
  <c r="G53" i="10"/>
  <c r="F53" i="10"/>
  <c r="E53" i="10"/>
  <c r="G52" i="10"/>
  <c r="F52" i="10"/>
  <c r="E52" i="10"/>
  <c r="F51" i="10"/>
  <c r="E51" i="10"/>
  <c r="G50" i="10"/>
  <c r="F50" i="10"/>
  <c r="E50" i="10"/>
  <c r="G49" i="10"/>
  <c r="F49" i="10"/>
  <c r="E49" i="10"/>
  <c r="G48" i="10"/>
  <c r="F48" i="10"/>
  <c r="E48" i="10"/>
  <c r="G47" i="10"/>
  <c r="F47" i="10"/>
  <c r="E47" i="10"/>
  <c r="G46" i="10"/>
  <c r="F46" i="10"/>
  <c r="E46" i="10"/>
  <c r="G45" i="10"/>
  <c r="F45" i="10"/>
  <c r="E45" i="10"/>
  <c r="G44" i="10"/>
  <c r="F44" i="10"/>
  <c r="E44" i="10"/>
  <c r="F57" i="10"/>
  <c r="G43" i="10"/>
  <c r="F43" i="10"/>
  <c r="G51" i="10"/>
  <c r="E43" i="10"/>
  <c r="G57" i="10"/>
  <c r="G42" i="10"/>
  <c r="F42" i="10"/>
  <c r="E42" i="10"/>
  <c r="E57" i="10"/>
  <c r="G41" i="10"/>
  <c r="F41" i="10"/>
  <c r="E41" i="10"/>
  <c r="G56" i="10"/>
  <c r="G40" i="10"/>
  <c r="F40" i="10"/>
  <c r="E40" i="10"/>
  <c r="F56" i="10"/>
  <c r="G39" i="10"/>
  <c r="F39" i="10"/>
  <c r="E39" i="10"/>
  <c r="E56" i="10"/>
  <c r="G38" i="10"/>
  <c r="F38" i="10"/>
  <c r="G55" i="10"/>
  <c r="F55" i="10"/>
  <c r="E38" i="10"/>
  <c r="F156" i="11"/>
  <c r="F155" i="11"/>
  <c r="F154" i="11"/>
  <c r="F153" i="11"/>
  <c r="F152" i="11"/>
  <c r="F151" i="11"/>
  <c r="F150" i="11"/>
  <c r="T149" i="11"/>
  <c r="T148" i="11"/>
  <c r="T147" i="11"/>
  <c r="T146" i="11"/>
  <c r="T145" i="11"/>
  <c r="T144" i="11"/>
  <c r="T143" i="11"/>
  <c r="T142" i="11"/>
  <c r="T141" i="11"/>
  <c r="T140" i="11"/>
  <c r="T139" i="11"/>
  <c r="T138" i="11"/>
  <c r="T137" i="11"/>
  <c r="T136" i="11"/>
  <c r="T135" i="11"/>
  <c r="T134" i="11"/>
  <c r="T133" i="11"/>
  <c r="T132" i="11"/>
  <c r="T131" i="11"/>
  <c r="T130" i="11"/>
  <c r="T125" i="11"/>
  <c r="T121" i="11"/>
  <c r="T120" i="11"/>
  <c r="T119" i="11"/>
  <c r="T116" i="11"/>
  <c r="T114" i="11"/>
  <c r="T113" i="11"/>
  <c r="T112" i="11"/>
  <c r="T111" i="11"/>
  <c r="T110" i="11"/>
  <c r="T109" i="11"/>
  <c r="T107" i="11"/>
  <c r="T106" i="11"/>
  <c r="T105" i="11"/>
  <c r="T104" i="11"/>
  <c r="T103" i="11"/>
  <c r="T102" i="11"/>
  <c r="T99" i="11"/>
  <c r="T95" i="11"/>
  <c r="T94" i="11"/>
  <c r="T91" i="11"/>
  <c r="T90" i="11"/>
  <c r="T89" i="11"/>
  <c r="T88" i="11"/>
  <c r="T86" i="11"/>
  <c r="T85" i="11"/>
  <c r="T82" i="11"/>
  <c r="T77" i="11"/>
  <c r="T75" i="11"/>
  <c r="T74" i="11"/>
  <c r="T68" i="11"/>
  <c r="T65" i="11"/>
  <c r="T64" i="11"/>
  <c r="T63" i="11"/>
  <c r="T56" i="11"/>
  <c r="T54" i="11"/>
  <c r="T53" i="11"/>
  <c r="T52" i="11"/>
  <c r="T48" i="11"/>
  <c r="T39" i="11"/>
  <c r="F25" i="11"/>
  <c r="T24" i="11"/>
  <c r="F24" i="11"/>
  <c r="T23" i="11"/>
  <c r="F23" i="11"/>
  <c r="T22" i="11"/>
  <c r="F22" i="11"/>
  <c r="T21" i="11"/>
  <c r="F21" i="11"/>
  <c r="T20" i="11"/>
  <c r="F20" i="11"/>
  <c r="T19" i="11"/>
  <c r="F19" i="11"/>
  <c r="T18" i="11"/>
  <c r="F18" i="11"/>
  <c r="T17" i="11"/>
  <c r="F17" i="11"/>
  <c r="T16" i="11"/>
  <c r="F16" i="11"/>
  <c r="T15" i="11"/>
  <c r="F15" i="11"/>
  <c r="T14" i="11"/>
  <c r="T13" i="11"/>
  <c r="F13" i="11"/>
  <c r="T12" i="11"/>
  <c r="F12" i="11"/>
  <c r="K12" i="11" s="1"/>
  <c r="T11" i="11"/>
  <c r="F11" i="11"/>
  <c r="T43" i="11"/>
  <c r="T41" i="11"/>
  <c r="T40" i="11"/>
  <c r="T37" i="11"/>
  <c r="T36" i="11"/>
  <c r="T35" i="11"/>
  <c r="T47" i="11"/>
  <c r="T46" i="11"/>
  <c r="T44" i="11"/>
  <c r="T42" i="11"/>
  <c r="T33" i="11"/>
  <c r="T129" i="11"/>
  <c r="T128" i="11"/>
  <c r="T127" i="11"/>
  <c r="T126" i="11"/>
  <c r="T124" i="11"/>
  <c r="T123" i="11"/>
  <c r="T122" i="11"/>
  <c r="T118" i="11"/>
  <c r="T117" i="11"/>
  <c r="T115" i="11"/>
  <c r="T108" i="11"/>
  <c r="T101" i="11"/>
  <c r="T100" i="11"/>
  <c r="T98" i="11"/>
  <c r="T97" i="11"/>
  <c r="T96" i="11"/>
  <c r="T93" i="11"/>
  <c r="T87" i="11"/>
  <c r="T84" i="11"/>
  <c r="T83" i="11"/>
  <c r="T81" i="11"/>
  <c r="T80" i="11"/>
  <c r="T79" i="11"/>
  <c r="T72" i="11"/>
  <c r="T71" i="11"/>
  <c r="T70" i="11"/>
  <c r="T69" i="11"/>
  <c r="T67" i="11"/>
  <c r="T66" i="11"/>
  <c r="T62" i="11"/>
  <c r="T61" i="11"/>
  <c r="T59" i="11"/>
  <c r="T58" i="11"/>
  <c r="T55" i="11"/>
  <c r="T51" i="11"/>
  <c r="T49" i="11"/>
  <c r="T45" i="11"/>
  <c r="Y11" i="11" l="1"/>
  <c r="Y12" i="11" s="1"/>
  <c r="Y13" i="11" s="1"/>
  <c r="Y14" i="11" s="1"/>
  <c r="Y15" i="11" s="1"/>
  <c r="Y16" i="11" s="1"/>
  <c r="Y17" i="11" s="1"/>
  <c r="Y18" i="11" s="1"/>
  <c r="Y19" i="11" s="1"/>
  <c r="Y20" i="11" s="1"/>
  <c r="Y21" i="11" s="1"/>
  <c r="Y22" i="11" s="1"/>
  <c r="Y23" i="11" s="1"/>
  <c r="Y24" i="11" s="1"/>
  <c r="Y25" i="11" s="1"/>
  <c r="Y26" i="11" s="1"/>
  <c r="Y27" i="11" s="1"/>
  <c r="Y28" i="11" s="1"/>
  <c r="Y29" i="11" s="1"/>
  <c r="Y30" i="11" s="1"/>
  <c r="Y31" i="11" s="1"/>
  <c r="Y32" i="11" s="1"/>
  <c r="Y33" i="11" s="1"/>
  <c r="Y34" i="11" s="1"/>
  <c r="Y35" i="11" s="1"/>
  <c r="Y36" i="11" s="1"/>
  <c r="Y37" i="11" s="1"/>
  <c r="Y38" i="11" s="1"/>
  <c r="Y39" i="11" s="1"/>
  <c r="Y40" i="11" s="1"/>
  <c r="Y41" i="11" s="1"/>
  <c r="Y42" i="11" s="1"/>
  <c r="Y43" i="11" s="1"/>
  <c r="Y44" i="11" s="1"/>
  <c r="Y45" i="11" s="1"/>
  <c r="Y46" i="11" s="1"/>
  <c r="Y47" i="11" s="1"/>
  <c r="Y48" i="11" s="1"/>
  <c r="Y49" i="11" s="1"/>
  <c r="Y50" i="11" s="1"/>
  <c r="Y51" i="11" s="1"/>
  <c r="Y52" i="11" s="1"/>
  <c r="Y53" i="11" s="1"/>
  <c r="Y54" i="11" s="1"/>
  <c r="Y55" i="11" s="1"/>
  <c r="Y56" i="11" s="1"/>
  <c r="Y57" i="11" s="1"/>
  <c r="Y58" i="11" s="1"/>
  <c r="Y59" i="11" s="1"/>
  <c r="Y60" i="11" s="1"/>
  <c r="Y61" i="11" s="1"/>
  <c r="Y62" i="11" s="1"/>
  <c r="Y63" i="11" s="1"/>
  <c r="Y64" i="11" s="1"/>
  <c r="Y65" i="11" s="1"/>
  <c r="Y66" i="11" s="1"/>
  <c r="Y67" i="11" s="1"/>
  <c r="Y68" i="11" s="1"/>
  <c r="Y69" i="11" s="1"/>
  <c r="Y70" i="11" s="1"/>
  <c r="Y71" i="11" s="1"/>
  <c r="Y72" i="11" s="1"/>
  <c r="Y73" i="11" s="1"/>
  <c r="Y74" i="11" s="1"/>
  <c r="Y75" i="11" s="1"/>
  <c r="Y76" i="11" s="1"/>
  <c r="Y77" i="11" s="1"/>
  <c r="Y78" i="11" s="1"/>
  <c r="Y79" i="11" s="1"/>
  <c r="Y80" i="11" s="1"/>
  <c r="Y81" i="11" s="1"/>
  <c r="Y82" i="11" s="1"/>
  <c r="Y83" i="11" s="1"/>
  <c r="Y84" i="11" s="1"/>
  <c r="Y85" i="11" s="1"/>
  <c r="Y86" i="11" s="1"/>
  <c r="Y87" i="11" s="1"/>
  <c r="Y88" i="11" s="1"/>
  <c r="Y89" i="11" s="1"/>
  <c r="Y90" i="11" s="1"/>
  <c r="Y91" i="11" s="1"/>
  <c r="Y92" i="11" s="1"/>
  <c r="Y93" i="11" s="1"/>
  <c r="Y94" i="11" s="1"/>
  <c r="Y95" i="11" s="1"/>
  <c r="Y96" i="11" s="1"/>
  <c r="Y97" i="11" s="1"/>
  <c r="Y98" i="11" s="1"/>
  <c r="Y99" i="11" s="1"/>
  <c r="Y100" i="11" s="1"/>
  <c r="Y101" i="11" s="1"/>
  <c r="Y102" i="11" s="1"/>
  <c r="Y103" i="11" s="1"/>
  <c r="Y104" i="11" s="1"/>
  <c r="Y105" i="11" s="1"/>
  <c r="Y106" i="11" s="1"/>
  <c r="Y107" i="11" s="1"/>
  <c r="Y108" i="11" s="1"/>
  <c r="Y109" i="11" s="1"/>
  <c r="Y110" i="11" s="1"/>
  <c r="Y111" i="11" s="1"/>
  <c r="Y112" i="11" s="1"/>
  <c r="Y113" i="11" s="1"/>
  <c r="Y114" i="11" s="1"/>
  <c r="Y115" i="11" s="1"/>
  <c r="Y116" i="11" s="1"/>
  <c r="Y117" i="11" s="1"/>
  <c r="Y118" i="11" s="1"/>
  <c r="Y119" i="11" s="1"/>
  <c r="Y120" i="11" s="1"/>
  <c r="Y121" i="11" s="1"/>
  <c r="Y122" i="11" s="1"/>
  <c r="Y123" i="11" s="1"/>
  <c r="Y124" i="11" s="1"/>
  <c r="Y125" i="11" s="1"/>
  <c r="Y126" i="11" s="1"/>
  <c r="Y127" i="11" s="1"/>
  <c r="Y128" i="11" s="1"/>
  <c r="Y129" i="11" s="1"/>
  <c r="Y130" i="11" s="1"/>
  <c r="Y131" i="11" s="1"/>
  <c r="Y132" i="11" s="1"/>
  <c r="Y133" i="11" s="1"/>
  <c r="Y134" i="11" s="1"/>
  <c r="Y135" i="11" s="1"/>
  <c r="Y136" i="11" s="1"/>
  <c r="Y137" i="11" s="1"/>
  <c r="Y138" i="11" s="1"/>
  <c r="Y139" i="11" s="1"/>
  <c r="Y140" i="11" s="1"/>
  <c r="Y141" i="11" s="1"/>
  <c r="Y142" i="11" s="1"/>
  <c r="Y143" i="11" s="1"/>
  <c r="Y144" i="11" s="1"/>
  <c r="Y145" i="11" s="1"/>
  <c r="Y146" i="11" s="1"/>
  <c r="Y147" i="11" s="1"/>
  <c r="Y148" i="11" s="1"/>
  <c r="Y149" i="11" s="1"/>
  <c r="Y150" i="11" s="1"/>
  <c r="Y151" i="11" s="1"/>
  <c r="Y152" i="11" s="1"/>
  <c r="Y153" i="11" s="1"/>
  <c r="Y154" i="11" s="1"/>
  <c r="Y155" i="11" s="1"/>
  <c r="Y156" i="11" s="1"/>
  <c r="V11" i="11"/>
  <c r="V12" i="11" s="1"/>
  <c r="V13" i="11" s="1"/>
  <c r="V14" i="11" s="1"/>
  <c r="V15" i="11" s="1"/>
  <c r="V16" i="11" s="1"/>
  <c r="V17" i="11" s="1"/>
  <c r="V18" i="11" s="1"/>
  <c r="V19" i="11" s="1"/>
  <c r="V20" i="11" s="1"/>
  <c r="V21" i="11" s="1"/>
  <c r="V22" i="11" s="1"/>
  <c r="V23" i="11" s="1"/>
  <c r="V24" i="11" s="1"/>
  <c r="V25" i="11" s="1"/>
  <c r="V26" i="11" s="1"/>
  <c r="V27" i="11" s="1"/>
  <c r="V28" i="11" s="1"/>
  <c r="V29" i="11" s="1"/>
  <c r="V30" i="11" s="1"/>
  <c r="V31" i="11" s="1"/>
  <c r="V32" i="11" s="1"/>
  <c r="V33" i="11" s="1"/>
  <c r="V34" i="11" s="1"/>
  <c r="V35" i="11" s="1"/>
  <c r="V36" i="11" s="1"/>
  <c r="V37" i="11" s="1"/>
  <c r="V38" i="11" s="1"/>
  <c r="V39" i="11" s="1"/>
  <c r="V40" i="11" s="1"/>
  <c r="V41" i="11" s="1"/>
  <c r="V42" i="11" s="1"/>
  <c r="V43" i="11" s="1"/>
  <c r="V44" i="11" s="1"/>
  <c r="V45" i="11" s="1"/>
  <c r="V46" i="11" s="1"/>
  <c r="V47" i="11" s="1"/>
  <c r="V48" i="11" s="1"/>
  <c r="V49" i="11" s="1"/>
  <c r="V50" i="11" s="1"/>
  <c r="V51" i="11" s="1"/>
  <c r="V52" i="11" s="1"/>
  <c r="V53" i="11" s="1"/>
  <c r="V54" i="11" s="1"/>
  <c r="V55" i="11" s="1"/>
  <c r="V56" i="11" s="1"/>
  <c r="V57" i="11" s="1"/>
  <c r="V58" i="11" s="1"/>
  <c r="V59" i="11" s="1"/>
  <c r="V60" i="11" s="1"/>
  <c r="V61" i="11" s="1"/>
  <c r="V62" i="11" s="1"/>
  <c r="V63" i="11" s="1"/>
  <c r="V64" i="11" s="1"/>
  <c r="V65" i="11" s="1"/>
  <c r="V66" i="11" s="1"/>
  <c r="V67" i="11" s="1"/>
  <c r="V68" i="11" s="1"/>
  <c r="V69" i="11" s="1"/>
  <c r="V70" i="11" s="1"/>
  <c r="V71" i="11" s="1"/>
  <c r="V72" i="11" s="1"/>
  <c r="V73" i="11" s="1"/>
  <c r="V74" i="11" s="1"/>
  <c r="V75" i="11" s="1"/>
  <c r="V76" i="11" s="1"/>
  <c r="V77" i="11" s="1"/>
  <c r="V78" i="11" s="1"/>
  <c r="V79" i="11" s="1"/>
  <c r="V80" i="11" s="1"/>
  <c r="V81" i="11" s="1"/>
  <c r="V82" i="11" s="1"/>
  <c r="V83" i="11" s="1"/>
  <c r="V84" i="11" s="1"/>
  <c r="V85" i="11" s="1"/>
  <c r="V86" i="11" s="1"/>
  <c r="V87" i="11" s="1"/>
  <c r="V88" i="11" s="1"/>
  <c r="V89" i="11" s="1"/>
  <c r="V90" i="11" s="1"/>
  <c r="V91" i="11" s="1"/>
  <c r="V92" i="11" s="1"/>
  <c r="V93" i="11" s="1"/>
  <c r="V94" i="11" s="1"/>
  <c r="V95" i="11" s="1"/>
  <c r="V96" i="11" s="1"/>
  <c r="V97" i="11" s="1"/>
  <c r="V98" i="11" s="1"/>
  <c r="V99" i="11" s="1"/>
  <c r="V100" i="11" s="1"/>
  <c r="V101" i="11" s="1"/>
  <c r="V102" i="11" s="1"/>
  <c r="V103" i="11" s="1"/>
  <c r="V104" i="11" s="1"/>
  <c r="V105" i="11" s="1"/>
  <c r="V106" i="11" s="1"/>
  <c r="V107" i="11" s="1"/>
  <c r="V108" i="11" s="1"/>
  <c r="V109" i="11" s="1"/>
  <c r="V110" i="11" s="1"/>
  <c r="V111" i="11" s="1"/>
  <c r="V112" i="11" s="1"/>
  <c r="V113" i="11" s="1"/>
  <c r="V114" i="11" s="1"/>
  <c r="V115" i="11" s="1"/>
  <c r="V116" i="11" s="1"/>
  <c r="V117" i="11" s="1"/>
  <c r="V118" i="11" s="1"/>
  <c r="V119" i="11" s="1"/>
  <c r="V120" i="11" s="1"/>
  <c r="V121" i="11" s="1"/>
  <c r="V122" i="11" s="1"/>
  <c r="V123" i="11" s="1"/>
  <c r="V124" i="11" s="1"/>
  <c r="V125" i="11" s="1"/>
  <c r="V126" i="11" s="1"/>
  <c r="V127" i="11" s="1"/>
  <c r="V128" i="11" s="1"/>
  <c r="V129" i="11" s="1"/>
  <c r="V130" i="11" s="1"/>
  <c r="V131" i="11" s="1"/>
  <c r="V132" i="11" s="1"/>
  <c r="V133" i="11" s="1"/>
  <c r="V134" i="11" s="1"/>
  <c r="V135" i="11" s="1"/>
  <c r="V136" i="11" s="1"/>
  <c r="V137" i="11" s="1"/>
  <c r="V138" i="11" s="1"/>
  <c r="V139" i="11" s="1"/>
  <c r="V140" i="11" s="1"/>
  <c r="V141" i="11" s="1"/>
  <c r="V142" i="11" s="1"/>
  <c r="V143" i="11" s="1"/>
  <c r="V144" i="11" s="1"/>
  <c r="V145" i="11" s="1"/>
  <c r="V146" i="11" s="1"/>
  <c r="V147" i="11" s="1"/>
  <c r="V148" i="11" s="1"/>
  <c r="V149" i="11" s="1"/>
  <c r="V150" i="11" s="1"/>
  <c r="V151" i="11" s="1"/>
  <c r="V152" i="11" s="1"/>
  <c r="V153" i="11" s="1"/>
  <c r="V154" i="11" s="1"/>
  <c r="V155" i="11" s="1"/>
  <c r="V156" i="11" s="1"/>
  <c r="U11" i="11"/>
  <c r="U12" i="11" s="1"/>
  <c r="U13" i="11" s="1"/>
  <c r="U14" i="11" s="1"/>
  <c r="U15" i="11" s="1"/>
  <c r="U16" i="11" s="1"/>
  <c r="U17" i="11" s="1"/>
  <c r="U18" i="11" s="1"/>
  <c r="U19" i="11" s="1"/>
  <c r="U20" i="11" s="1"/>
  <c r="U21" i="11" s="1"/>
  <c r="U22" i="11" s="1"/>
  <c r="U23" i="11" s="1"/>
  <c r="U24" i="11" s="1"/>
  <c r="U25" i="11" s="1"/>
  <c r="U26" i="11" s="1"/>
  <c r="U27" i="11" s="1"/>
  <c r="U28" i="11" s="1"/>
  <c r="U29" i="11" s="1"/>
  <c r="U30" i="11" s="1"/>
  <c r="U31" i="11" s="1"/>
  <c r="U32" i="11" s="1"/>
  <c r="U33" i="11" s="1"/>
  <c r="U34" i="11" s="1"/>
  <c r="U35" i="11" s="1"/>
  <c r="U36" i="11" s="1"/>
  <c r="U37" i="11" s="1"/>
  <c r="U38" i="11" s="1"/>
  <c r="U39" i="11" s="1"/>
  <c r="U40" i="11" s="1"/>
  <c r="U41" i="11" s="1"/>
  <c r="U42" i="11" s="1"/>
  <c r="U43" i="11" s="1"/>
  <c r="U44" i="11" s="1"/>
  <c r="U45" i="11" s="1"/>
  <c r="U46" i="11" s="1"/>
  <c r="U47" i="11" s="1"/>
  <c r="U48" i="11" s="1"/>
  <c r="U49" i="11" s="1"/>
  <c r="U50" i="11" s="1"/>
  <c r="U51" i="11" s="1"/>
  <c r="U52" i="11" s="1"/>
  <c r="U53" i="11" s="1"/>
  <c r="U54" i="11" s="1"/>
  <c r="U55" i="11" s="1"/>
  <c r="U56" i="11" s="1"/>
  <c r="U57" i="11" s="1"/>
  <c r="U58" i="11" s="1"/>
  <c r="U59" i="11" s="1"/>
  <c r="U60" i="11" s="1"/>
  <c r="U61" i="11" s="1"/>
  <c r="U62" i="11" s="1"/>
  <c r="U63" i="11" s="1"/>
  <c r="U64" i="11" s="1"/>
  <c r="U65" i="11" s="1"/>
  <c r="U66" i="11" s="1"/>
  <c r="U67" i="11" s="1"/>
  <c r="U68" i="11" s="1"/>
  <c r="U69" i="11" s="1"/>
  <c r="U70" i="11" s="1"/>
  <c r="U71" i="11" s="1"/>
  <c r="U72" i="11" s="1"/>
  <c r="U73" i="11" s="1"/>
  <c r="U74" i="11" s="1"/>
  <c r="U75" i="11" s="1"/>
  <c r="U76" i="11" s="1"/>
  <c r="U77" i="11" s="1"/>
  <c r="U78" i="11" s="1"/>
  <c r="U79" i="11" s="1"/>
  <c r="U80" i="11" s="1"/>
  <c r="U81" i="11" s="1"/>
  <c r="U82" i="11" s="1"/>
  <c r="U83" i="11" s="1"/>
  <c r="U84" i="11" s="1"/>
  <c r="U85" i="11" s="1"/>
  <c r="U86" i="11" s="1"/>
  <c r="U87" i="11" s="1"/>
  <c r="U88" i="11" s="1"/>
  <c r="U89" i="11" s="1"/>
  <c r="U90" i="11" s="1"/>
  <c r="U91" i="11" s="1"/>
  <c r="U92" i="11" s="1"/>
  <c r="U93" i="11" s="1"/>
  <c r="U94" i="11" s="1"/>
  <c r="U95" i="11" s="1"/>
  <c r="U96" i="11" s="1"/>
  <c r="U97" i="11" s="1"/>
  <c r="U98" i="11" s="1"/>
  <c r="U99" i="11" s="1"/>
  <c r="U100" i="11" s="1"/>
  <c r="U101" i="11" s="1"/>
  <c r="U102" i="11" s="1"/>
  <c r="U103" i="11" s="1"/>
  <c r="U104" i="11" s="1"/>
  <c r="U105" i="11" s="1"/>
  <c r="U106" i="11" s="1"/>
  <c r="U107" i="11" s="1"/>
  <c r="U108" i="11" s="1"/>
  <c r="U109" i="11" s="1"/>
  <c r="U110" i="11" s="1"/>
  <c r="U111" i="11" s="1"/>
  <c r="U112" i="11" s="1"/>
  <c r="U113" i="11" s="1"/>
  <c r="U114" i="11" s="1"/>
  <c r="U115" i="11" s="1"/>
  <c r="U116" i="11" s="1"/>
  <c r="U117" i="11" s="1"/>
  <c r="U118" i="11" s="1"/>
  <c r="U119" i="11" s="1"/>
  <c r="U120" i="11" s="1"/>
  <c r="U121" i="11" s="1"/>
  <c r="U122" i="11" s="1"/>
  <c r="U123" i="11" s="1"/>
  <c r="U124" i="11" s="1"/>
  <c r="U125" i="11" s="1"/>
  <c r="U126" i="11" s="1"/>
  <c r="U127" i="11" s="1"/>
  <c r="U128" i="11" s="1"/>
  <c r="U129" i="11" s="1"/>
  <c r="U130" i="11" s="1"/>
  <c r="U131" i="11" s="1"/>
  <c r="U132" i="11" s="1"/>
  <c r="U133" i="11" s="1"/>
  <c r="U134" i="11" s="1"/>
  <c r="U135" i="11" s="1"/>
  <c r="U136" i="11" s="1"/>
  <c r="U137" i="11" s="1"/>
  <c r="U138" i="11" s="1"/>
  <c r="U139" i="11" s="1"/>
  <c r="U140" i="11" s="1"/>
  <c r="U141" i="11" s="1"/>
  <c r="U142" i="11" s="1"/>
  <c r="U143" i="11" s="1"/>
  <c r="U144" i="11" s="1"/>
  <c r="U145" i="11" s="1"/>
  <c r="U146" i="11" s="1"/>
  <c r="U147" i="11" s="1"/>
  <c r="U148" i="11" s="1"/>
  <c r="U149" i="11" s="1"/>
  <c r="U150" i="11" s="1"/>
  <c r="U151" i="11" s="1"/>
  <c r="U152" i="11" s="1"/>
  <c r="U153" i="11" s="1"/>
  <c r="U154" i="11" s="1"/>
  <c r="U155" i="11" s="1"/>
  <c r="U156" i="11" s="1"/>
  <c r="K13" i="1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K52" i="11" s="1"/>
  <c r="K53" i="11" s="1"/>
  <c r="K54" i="11" s="1"/>
  <c r="K55" i="11" s="1"/>
  <c r="K56" i="11" s="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K104" i="11" s="1"/>
  <c r="K105" i="11" s="1"/>
  <c r="K106" i="11" s="1"/>
  <c r="K107" i="11" s="1"/>
  <c r="K108" i="11" s="1"/>
  <c r="K109" i="11" s="1"/>
  <c r="K110" i="11" s="1"/>
  <c r="K111" i="11" s="1"/>
  <c r="K112" i="11" s="1"/>
  <c r="K113" i="11" s="1"/>
  <c r="K114" i="11" s="1"/>
  <c r="K115" i="11" s="1"/>
  <c r="K116" i="11" s="1"/>
  <c r="K117" i="11" s="1"/>
  <c r="K118" i="11" s="1"/>
  <c r="K119" i="11" s="1"/>
  <c r="K120" i="11" s="1"/>
  <c r="K121" i="11" s="1"/>
  <c r="K122" i="11" s="1"/>
  <c r="K123" i="11" s="1"/>
  <c r="K124" i="11" s="1"/>
  <c r="K125" i="11" s="1"/>
  <c r="K126" i="11" s="1"/>
  <c r="K127" i="11" s="1"/>
  <c r="K128" i="11" s="1"/>
  <c r="K129" i="11" s="1"/>
  <c r="K130" i="11" s="1"/>
  <c r="K131" i="11" s="1"/>
  <c r="K132" i="11" s="1"/>
  <c r="K133" i="11" s="1"/>
  <c r="K134" i="11" s="1"/>
  <c r="K135" i="11" s="1"/>
  <c r="K136" i="11" s="1"/>
  <c r="K137" i="11" s="1"/>
  <c r="K138" i="11" s="1"/>
  <c r="K139" i="11" s="1"/>
  <c r="K140" i="11" s="1"/>
  <c r="K141" i="11" s="1"/>
  <c r="K142" i="11" s="1"/>
  <c r="K143" i="11" s="1"/>
  <c r="K144" i="11" s="1"/>
  <c r="K145" i="11" s="1"/>
  <c r="K146" i="11" s="1"/>
  <c r="K147" i="11" s="1"/>
  <c r="K148" i="11" s="1"/>
  <c r="K149" i="11" s="1"/>
  <c r="K150" i="11" s="1"/>
  <c r="K151" i="11" s="1"/>
  <c r="K152" i="11" s="1"/>
  <c r="K153" i="11" s="1"/>
  <c r="K154" i="11" s="1"/>
  <c r="K155" i="11" s="1"/>
  <c r="K156" i="11" s="1"/>
  <c r="H11" i="1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H25" i="11" s="1"/>
  <c r="H26" i="11" s="1"/>
  <c r="H27" i="11" s="1"/>
  <c r="H28" i="11" s="1"/>
  <c r="H29" i="11" s="1"/>
  <c r="H30" i="11" s="1"/>
  <c r="H31" i="11" s="1"/>
  <c r="H32" i="11" s="1"/>
  <c r="H33" i="11" s="1"/>
  <c r="H34" i="11" s="1"/>
  <c r="H35" i="11" s="1"/>
  <c r="H36" i="11" s="1"/>
  <c r="H37" i="11" s="1"/>
  <c r="H38" i="11" s="1"/>
  <c r="H39" i="11" s="1"/>
  <c r="H40" i="11" s="1"/>
  <c r="H41" i="11" s="1"/>
  <c r="H42" i="11" s="1"/>
  <c r="H43" i="11" s="1"/>
  <c r="H44" i="11" s="1"/>
  <c r="H45" i="11" s="1"/>
  <c r="H46" i="11" s="1"/>
  <c r="H47" i="11" s="1"/>
  <c r="H48" i="11" s="1"/>
  <c r="H49" i="11" s="1"/>
  <c r="H50" i="11" s="1"/>
  <c r="H51" i="11" s="1"/>
  <c r="H52" i="11" s="1"/>
  <c r="H53" i="11" s="1"/>
  <c r="H54" i="11" s="1"/>
  <c r="H55" i="11" s="1"/>
  <c r="H56" i="11" s="1"/>
  <c r="H57" i="11" s="1"/>
  <c r="H58" i="11" s="1"/>
  <c r="H59" i="11" s="1"/>
  <c r="H60" i="11" s="1"/>
  <c r="H61" i="11" s="1"/>
  <c r="H62" i="11" s="1"/>
  <c r="H63" i="11" s="1"/>
  <c r="H64" i="11" s="1"/>
  <c r="H65" i="11" s="1"/>
  <c r="H66" i="11" s="1"/>
  <c r="H67" i="11" s="1"/>
  <c r="H68" i="11" s="1"/>
  <c r="H69" i="11" s="1"/>
  <c r="H70" i="11" s="1"/>
  <c r="H71" i="11" s="1"/>
  <c r="H72" i="11" s="1"/>
  <c r="H73" i="11" s="1"/>
  <c r="H74" i="11" s="1"/>
  <c r="H75" i="11" s="1"/>
  <c r="H76" i="11" s="1"/>
  <c r="H77" i="11" s="1"/>
  <c r="H78" i="11" s="1"/>
  <c r="H79" i="11" s="1"/>
  <c r="H80" i="11" s="1"/>
  <c r="H81" i="11" s="1"/>
  <c r="H82" i="11" s="1"/>
  <c r="H83" i="11" s="1"/>
  <c r="H84" i="11" s="1"/>
  <c r="H85" i="11" s="1"/>
  <c r="H86" i="11" s="1"/>
  <c r="H87" i="11" s="1"/>
  <c r="H88" i="11" s="1"/>
  <c r="H89" i="11" s="1"/>
  <c r="H90" i="11" s="1"/>
  <c r="H91" i="11" s="1"/>
  <c r="H92" i="11" s="1"/>
  <c r="H93" i="11" s="1"/>
  <c r="H94" i="11" s="1"/>
  <c r="H95" i="11" s="1"/>
  <c r="H96" i="11" s="1"/>
  <c r="H97" i="11" s="1"/>
  <c r="H98" i="11" s="1"/>
  <c r="H99" i="11" s="1"/>
  <c r="H100" i="11" s="1"/>
  <c r="H101" i="11" s="1"/>
  <c r="H102" i="11" s="1"/>
  <c r="H103" i="11" s="1"/>
  <c r="H104" i="11" s="1"/>
  <c r="H105" i="11" s="1"/>
  <c r="H106" i="11" s="1"/>
  <c r="H107" i="11" s="1"/>
  <c r="H108" i="11" s="1"/>
  <c r="H109" i="11" s="1"/>
  <c r="H110" i="11" s="1"/>
  <c r="H111" i="11" s="1"/>
  <c r="H112" i="11" s="1"/>
  <c r="H113" i="11" s="1"/>
  <c r="H114" i="11" s="1"/>
  <c r="H115" i="11" s="1"/>
  <c r="H116" i="11" s="1"/>
  <c r="H117" i="11" s="1"/>
  <c r="H118" i="11" s="1"/>
  <c r="H119" i="11" s="1"/>
  <c r="H120" i="11" s="1"/>
  <c r="H121" i="11" s="1"/>
  <c r="H122" i="11" s="1"/>
  <c r="H123" i="11" s="1"/>
  <c r="H124" i="11" s="1"/>
  <c r="H125" i="11" s="1"/>
  <c r="H126" i="11" s="1"/>
  <c r="H127" i="11" s="1"/>
  <c r="H128" i="11" s="1"/>
  <c r="H129" i="11" s="1"/>
  <c r="H130" i="11" s="1"/>
  <c r="H131" i="11" s="1"/>
  <c r="H132" i="11" s="1"/>
  <c r="H133" i="11" s="1"/>
  <c r="H134" i="11" s="1"/>
  <c r="H135" i="11" s="1"/>
  <c r="H136" i="11" s="1"/>
  <c r="H137" i="11" s="1"/>
  <c r="H138" i="11" s="1"/>
  <c r="H139" i="11" s="1"/>
  <c r="H140" i="11" s="1"/>
  <c r="H141" i="11" s="1"/>
  <c r="H142" i="11" s="1"/>
  <c r="H143" i="11" s="1"/>
  <c r="H144" i="11" s="1"/>
  <c r="H145" i="11" s="1"/>
  <c r="H146" i="11" s="1"/>
  <c r="H147" i="11" s="1"/>
  <c r="H148" i="11" s="1"/>
  <c r="H149" i="11" s="1"/>
  <c r="H150" i="11" s="1"/>
  <c r="H151" i="11" s="1"/>
  <c r="H152" i="11" s="1"/>
  <c r="H153" i="11" s="1"/>
  <c r="H154" i="11" s="1"/>
  <c r="H155" i="11" s="1"/>
  <c r="H156" i="11" s="1"/>
  <c r="G12" i="1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G34" i="11" s="1"/>
  <c r="G35" i="11" s="1"/>
  <c r="G36" i="11" s="1"/>
  <c r="G37" i="11" s="1"/>
  <c r="G38" i="11" s="1"/>
  <c r="G39" i="11" s="1"/>
  <c r="G40" i="11" s="1"/>
  <c r="G41" i="11" s="1"/>
  <c r="G42" i="11" s="1"/>
  <c r="G43" i="11" s="1"/>
  <c r="G44" i="11" s="1"/>
  <c r="G45" i="11" s="1"/>
  <c r="G46" i="11" s="1"/>
  <c r="G47" i="11" s="1"/>
  <c r="G48" i="11" s="1"/>
  <c r="G49" i="11" s="1"/>
  <c r="G50" i="11" s="1"/>
  <c r="G51" i="11" s="1"/>
  <c r="G52" i="11" s="1"/>
  <c r="G53" i="11" s="1"/>
  <c r="G54" i="11" s="1"/>
  <c r="G55" i="11" s="1"/>
  <c r="G56" i="11" s="1"/>
  <c r="G57" i="11" s="1"/>
  <c r="G58" i="11" s="1"/>
  <c r="G59" i="11" s="1"/>
  <c r="G60" i="11" s="1"/>
  <c r="G61" i="11" s="1"/>
  <c r="G62" i="11" s="1"/>
  <c r="G63" i="11" s="1"/>
  <c r="G64" i="11" s="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2" i="9"/>
  <c r="G9" i="9"/>
  <c r="G17" i="9"/>
  <c r="G20" i="9"/>
  <c r="G30" i="9"/>
  <c r="G12" i="8"/>
  <c r="G20" i="8"/>
  <c r="G34" i="8"/>
  <c r="G47" i="8"/>
  <c r="G5" i="8"/>
  <c r="G21" i="8"/>
  <c r="G31" i="8"/>
  <c r="G38" i="8"/>
  <c r="G46" i="8"/>
  <c r="G13" i="8"/>
  <c r="G52" i="8"/>
  <c r="G53" i="8"/>
  <c r="G55" i="8"/>
  <c r="G58" i="8"/>
  <c r="G61" i="8"/>
  <c r="G69" i="8"/>
  <c r="G71" i="8"/>
  <c r="G73" i="8"/>
  <c r="G76" i="8"/>
  <c r="G83" i="8"/>
  <c r="G87" i="8"/>
  <c r="G88" i="8"/>
  <c r="G89" i="8"/>
  <c r="G93" i="8"/>
  <c r="G99" i="8"/>
  <c r="G100" i="8"/>
  <c r="G104" i="8"/>
  <c r="G105" i="8"/>
  <c r="G106" i="8"/>
  <c r="G112" i="8"/>
  <c r="G117" i="8"/>
  <c r="G120" i="8"/>
  <c r="G121" i="8"/>
  <c r="G122" i="8"/>
  <c r="G123" i="8"/>
  <c r="G129" i="8"/>
  <c r="G130" i="8"/>
  <c r="G131" i="8"/>
  <c r="G132" i="8"/>
  <c r="G139" i="8"/>
  <c r="G140" i="8"/>
  <c r="G141" i="8"/>
  <c r="G142" i="8"/>
  <c r="G143" i="8"/>
  <c r="G70" i="7"/>
  <c r="G82" i="7"/>
  <c r="G86" i="7"/>
  <c r="G91" i="7"/>
  <c r="G94" i="7"/>
  <c r="G100" i="7"/>
  <c r="G135" i="7"/>
  <c r="G76" i="7"/>
  <c r="G4" i="7"/>
  <c r="G6" i="7"/>
  <c r="G9" i="7"/>
  <c r="G15" i="7"/>
  <c r="G18" i="7"/>
  <c r="G21" i="7"/>
  <c r="G24" i="7"/>
  <c r="G29" i="7"/>
  <c r="G32" i="7"/>
  <c r="G35" i="7"/>
  <c r="G38" i="7"/>
  <c r="G40" i="7"/>
  <c r="G43" i="7"/>
  <c r="G46" i="7"/>
  <c r="G53" i="7"/>
  <c r="G56" i="7"/>
  <c r="G59" i="7"/>
  <c r="G62" i="7"/>
  <c r="G65" i="7"/>
  <c r="G68" i="7"/>
  <c r="G148" i="7"/>
  <c r="G143" i="5"/>
  <c r="G146" i="5"/>
  <c r="G3" i="1"/>
  <c r="G5" i="1"/>
  <c r="G8" i="1"/>
  <c r="G13" i="1"/>
  <c r="G18" i="1"/>
  <c r="G33" i="1"/>
  <c r="G43" i="1"/>
  <c r="G45" i="1"/>
  <c r="G49" i="1"/>
  <c r="G51" i="1"/>
  <c r="G53" i="1"/>
  <c r="G55" i="1"/>
  <c r="G57" i="1"/>
  <c r="G59" i="1"/>
  <c r="G65" i="1"/>
  <c r="G66" i="1"/>
  <c r="G70" i="1"/>
  <c r="G72" i="1"/>
  <c r="G80" i="1"/>
  <c r="G82" i="1"/>
  <c r="G90" i="1"/>
  <c r="G92" i="1"/>
  <c r="G94" i="1"/>
  <c r="G96" i="1"/>
  <c r="G97" i="1"/>
  <c r="G104" i="1"/>
  <c r="G111" i="1"/>
  <c r="G113" i="1"/>
  <c r="G121" i="1"/>
  <c r="G123" i="1"/>
  <c r="G132" i="1"/>
  <c r="G135" i="1"/>
  <c r="G137" i="1"/>
  <c r="G139" i="1"/>
  <c r="G141" i="1"/>
  <c r="G143" i="1"/>
  <c r="G145" i="1"/>
  <c r="G147" i="1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3" i="5"/>
  <c r="G134" i="5"/>
  <c r="G136" i="5"/>
  <c r="G138" i="5"/>
  <c r="G140" i="5"/>
  <c r="G142" i="5"/>
  <c r="G2" i="1"/>
  <c r="G7" i="1"/>
  <c r="G12" i="1"/>
  <c r="G17" i="1"/>
  <c r="G26" i="1"/>
  <c r="G29" i="1"/>
  <c r="G31" i="1"/>
  <c r="G36" i="1"/>
  <c r="G38" i="1"/>
  <c r="G41" i="1"/>
  <c r="G67" i="1"/>
  <c r="G69" i="1"/>
  <c r="G71" i="1"/>
  <c r="G73" i="1"/>
  <c r="G75" i="1"/>
  <c r="G77" i="1"/>
  <c r="G79" i="1"/>
  <c r="G81" i="1"/>
  <c r="G85" i="1"/>
  <c r="G91" i="1"/>
  <c r="G93" i="1"/>
  <c r="G99" i="1"/>
  <c r="G101" i="1"/>
  <c r="G105" i="1"/>
  <c r="G107" i="1"/>
  <c r="G109" i="1"/>
  <c r="G116" i="1"/>
  <c r="G125" i="1"/>
  <c r="G127" i="1"/>
  <c r="G129" i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1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G6" i="2"/>
  <c r="G3" i="2"/>
  <c r="G6" i="1"/>
  <c r="G11" i="1"/>
  <c r="G14" i="1"/>
  <c r="G16" i="1"/>
  <c r="G21" i="1"/>
  <c r="G28" i="1"/>
  <c r="G61" i="1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G3" i="9"/>
  <c r="G4" i="9"/>
  <c r="G16" i="9"/>
  <c r="G18" i="9"/>
  <c r="G21" i="9"/>
  <c r="G26" i="9"/>
  <c r="G27" i="9"/>
  <c r="G29" i="9"/>
  <c r="G19" i="8"/>
  <c r="G48" i="8"/>
  <c r="G16" i="8"/>
  <c r="G22" i="8"/>
  <c r="G28" i="8"/>
  <c r="G37" i="8"/>
  <c r="G45" i="8"/>
  <c r="G50" i="8"/>
  <c r="G57" i="8"/>
  <c r="G60" i="8"/>
  <c r="G64" i="8"/>
  <c r="G66" i="8"/>
  <c r="G70" i="8"/>
  <c r="G74" i="8"/>
  <c r="G77" i="8"/>
  <c r="G92" i="7"/>
  <c r="G95" i="7"/>
  <c r="G101" i="7"/>
  <c r="G119" i="7"/>
  <c r="G134" i="7"/>
  <c r="G90" i="7"/>
  <c r="G109" i="7"/>
  <c r="G137" i="7"/>
  <c r="G147" i="7"/>
  <c r="G74" i="7"/>
  <c r="G75" i="7"/>
  <c r="G79" i="7"/>
  <c r="G121" i="7"/>
  <c r="G106" i="7"/>
  <c r="G3" i="7"/>
  <c r="G8" i="7"/>
  <c r="G11" i="7"/>
  <c r="G13" i="7"/>
  <c r="G14" i="7"/>
  <c r="G17" i="7"/>
  <c r="G20" i="7"/>
  <c r="G23" i="7"/>
  <c r="G26" i="7"/>
  <c r="G27" i="7"/>
  <c r="G30" i="7"/>
  <c r="G33" i="7"/>
  <c r="G36" i="7"/>
  <c r="G39" i="7"/>
  <c r="G42" i="7"/>
  <c r="G45" i="7"/>
  <c r="G48" i="7"/>
  <c r="G49" i="7"/>
  <c r="G52" i="7"/>
  <c r="G55" i="7"/>
  <c r="G58" i="7"/>
  <c r="G60" i="7"/>
  <c r="G63" i="7"/>
  <c r="G66" i="7"/>
  <c r="G140" i="7"/>
  <c r="G132" i="5"/>
  <c r="G135" i="5"/>
  <c r="G137" i="5"/>
  <c r="G145" i="5"/>
  <c r="G2" i="2"/>
  <c r="G4" i="1"/>
  <c r="G10" i="1"/>
  <c r="G15" i="1"/>
  <c r="G22" i="1"/>
  <c r="G24" i="1"/>
  <c r="G27" i="1"/>
  <c r="G32" i="1"/>
  <c r="G40" i="1"/>
  <c r="G42" i="1"/>
  <c r="G44" i="1"/>
  <c r="G46" i="1"/>
  <c r="G48" i="1"/>
  <c r="G62" i="1"/>
  <c r="G84" i="1"/>
  <c r="G86" i="1"/>
  <c r="G88" i="1"/>
  <c r="G106" i="1"/>
  <c r="G108" i="1"/>
  <c r="G110" i="1"/>
  <c r="G112" i="1"/>
  <c r="G114" i="1"/>
  <c r="G118" i="1"/>
  <c r="G120" i="1"/>
  <c r="G122" i="1"/>
  <c r="G131" i="1"/>
  <c r="G134" i="1"/>
  <c r="G136" i="1"/>
  <c r="G138" i="1"/>
  <c r="G6" i="9"/>
  <c r="G7" i="9"/>
  <c r="G8" i="9"/>
  <c r="G11" i="9"/>
  <c r="G12" i="9"/>
  <c r="G14" i="9"/>
  <c r="G15" i="9"/>
  <c r="G19" i="9"/>
  <c r="G22" i="9"/>
  <c r="G24" i="9"/>
  <c r="G25" i="9"/>
  <c r="G28" i="9"/>
  <c r="G9" i="8"/>
  <c r="G18" i="8"/>
  <c r="G35" i="8"/>
  <c r="G40" i="8"/>
  <c r="G3" i="8"/>
  <c r="G6" i="8"/>
  <c r="G24" i="8"/>
  <c r="G32" i="8"/>
  <c r="G15" i="8"/>
  <c r="G25" i="8"/>
  <c r="G54" i="8"/>
  <c r="G56" i="8"/>
  <c r="G59" i="8"/>
  <c r="G62" i="8"/>
  <c r="G67" i="8"/>
  <c r="G68" i="8"/>
  <c r="G72" i="8"/>
  <c r="G75" i="8"/>
  <c r="G78" i="8"/>
  <c r="G79" i="8"/>
  <c r="G80" i="8"/>
  <c r="G81" i="8"/>
  <c r="G82" i="8"/>
  <c r="G85" i="8"/>
  <c r="G86" i="8"/>
  <c r="G90" i="8"/>
  <c r="G91" i="8"/>
  <c r="G92" i="8"/>
  <c r="G95" i="8"/>
  <c r="G96" i="8"/>
  <c r="G97" i="8"/>
  <c r="G98" i="8"/>
  <c r="G101" i="8"/>
  <c r="G102" i="8"/>
  <c r="G103" i="8"/>
  <c r="G107" i="8"/>
  <c r="G108" i="8"/>
  <c r="G109" i="8"/>
  <c r="G110" i="8"/>
  <c r="G111" i="8"/>
  <c r="G114" i="8"/>
  <c r="G116" i="8"/>
  <c r="G119" i="8"/>
  <c r="G124" i="8"/>
  <c r="G125" i="8"/>
  <c r="G126" i="8"/>
  <c r="G127" i="8"/>
  <c r="G128" i="8"/>
  <c r="G133" i="8"/>
  <c r="G134" i="8"/>
  <c r="G135" i="8"/>
  <c r="G136" i="8"/>
  <c r="G137" i="8"/>
  <c r="G138" i="8"/>
  <c r="G144" i="8"/>
  <c r="G145" i="8"/>
  <c r="G146" i="8"/>
  <c r="G147" i="8"/>
  <c r="G69" i="7"/>
  <c r="G81" i="7"/>
  <c r="G83" i="7"/>
  <c r="G85" i="7"/>
  <c r="G98" i="7"/>
  <c r="G133" i="7"/>
  <c r="G126" i="7"/>
  <c r="G136" i="7"/>
  <c r="G139" i="7"/>
  <c r="G146" i="7"/>
  <c r="G104" i="7"/>
  <c r="G102" i="7"/>
  <c r="G105" i="7"/>
  <c r="G111" i="7"/>
  <c r="G124" i="7"/>
  <c r="G142" i="7"/>
  <c r="G143" i="7"/>
  <c r="G2" i="7"/>
  <c r="G5" i="7"/>
  <c r="G7" i="7"/>
  <c r="G10" i="7"/>
  <c r="G16" i="7"/>
  <c r="G19" i="7"/>
  <c r="G22" i="7"/>
  <c r="G25" i="7"/>
  <c r="G28" i="7"/>
  <c r="G31" i="7"/>
  <c r="G34" i="7"/>
  <c r="G37" i="7"/>
  <c r="G41" i="7"/>
  <c r="G44" i="7"/>
  <c r="G47" i="7"/>
  <c r="G50" i="7"/>
  <c r="G51" i="7"/>
  <c r="G54" i="7"/>
  <c r="G57" i="7"/>
  <c r="G61" i="7"/>
  <c r="G64" i="7"/>
  <c r="G67" i="7"/>
  <c r="G144" i="7"/>
  <c r="G139" i="5"/>
  <c r="G144" i="5"/>
  <c r="G147" i="5"/>
  <c r="G9" i="1"/>
  <c r="G19" i="1"/>
  <c r="G23" i="1"/>
  <c r="G25" i="1"/>
  <c r="G30" i="1"/>
  <c r="G39" i="1"/>
  <c r="G50" i="1"/>
  <c r="G52" i="1"/>
  <c r="G54" i="1"/>
  <c r="G56" i="1"/>
  <c r="G58" i="1"/>
  <c r="G68" i="1"/>
  <c r="G74" i="1"/>
  <c r="G76" i="1"/>
  <c r="G78" i="1"/>
  <c r="G83" i="1"/>
  <c r="G87" i="1"/>
  <c r="G89" i="1"/>
  <c r="G95" i="1"/>
  <c r="G100" i="1"/>
  <c r="G102" i="1"/>
  <c r="G115" i="1"/>
  <c r="G117" i="1"/>
  <c r="G119" i="1"/>
  <c r="G126" i="1"/>
  <c r="G128" i="1"/>
  <c r="G130" i="1"/>
  <c r="G142" i="1"/>
  <c r="G144" i="1"/>
  <c r="G146" i="1"/>
  <c r="G148" i="1"/>
</calcChain>
</file>

<file path=xl/sharedStrings.xml><?xml version="1.0" encoding="utf-8"?>
<sst xmlns="http://schemas.openxmlformats.org/spreadsheetml/2006/main" count="223" uniqueCount="85">
  <si>
    <t>KONTROL                      TARİH</t>
  </si>
  <si>
    <t>KONTROL EDİLEN ÜRÜN ADEDİ</t>
  </si>
  <si>
    <t>HATALI
ÜRÜN
ADEDİ</t>
  </si>
  <si>
    <t>p</t>
  </si>
  <si>
    <t>UCL</t>
  </si>
  <si>
    <t>LCL</t>
  </si>
  <si>
    <t>KONTROL</t>
  </si>
  <si>
    <t>ANALİZ NOTU</t>
  </si>
  <si>
    <t>GRAFİK DAHİL</t>
  </si>
  <si>
    <t>Evet</t>
  </si>
  <si>
    <t>İstatistiksel Revizyon (1. Tur)</t>
  </si>
  <si>
    <t>Hayır</t>
  </si>
  <si>
    <t>İstatistiksel Revizyon (3. Tur)</t>
  </si>
  <si>
    <t>Atanabilir Sebep (İlk Analiz)</t>
  </si>
  <si>
    <t>İstatistiksel Revizyon (2. Tur)</t>
  </si>
  <si>
    <t>REVİZE P BAR (sadece "Evet" olan noktalar)</t>
  </si>
  <si>
    <t>Not: Atanabilir sebebi belirlenen ve istatistiksel olarak kontrol dışı çıkan noktalar p̄ hesaplamasından çıkarılmıştır. "GRAFİK DAHİL" sütununu Evet/Hayır olarak değiştirirseniz tüm hesaplamalar otomatik güncellenir.</t>
  </si>
  <si>
    <t>REVİZE P-CHART VERİSİ (Sadece Kontrol İçindeki 20 Nokta)</t>
  </si>
  <si>
    <t>KONTROL TARİHİ</t>
  </si>
  <si>
    <t>HATALI ÜRÜN ADEDİ</t>
  </si>
  <si>
    <t>MERKEZ (p̄)</t>
  </si>
  <si>
    <t>KONTROL  TARİHİ</t>
  </si>
  <si>
    <t>P BAR</t>
  </si>
  <si>
    <t xml:space="preserve">KONTROL </t>
  </si>
  <si>
    <t>Enjeksiyon Kısımlarında Oynama Var</t>
  </si>
  <si>
    <t>Hatalı Üürn adedi</t>
  </si>
  <si>
    <t>Dayson Hatası</t>
  </si>
  <si>
    <t>Genel Toplam</t>
  </si>
  <si>
    <t>AY</t>
  </si>
  <si>
    <t>ÜRÜN GRUBU</t>
  </si>
  <si>
    <t>OCAK</t>
  </si>
  <si>
    <t>2 Adet albedo kutudaki çizikten dolayı değiştirildi</t>
  </si>
  <si>
    <t>Yön Kablosu Üzerinde Derin Kesik ve Ezik İzleri Var Furkan Cnabay ın Onayı Gitti -Üretim Hatası</t>
  </si>
  <si>
    <t>Ürünlerin Mekanik Yapısında Çizik Var Furkan Canbay ın Onayı İle Gitti</t>
  </si>
  <si>
    <t>ŞUBAT</t>
  </si>
  <si>
    <t>MART</t>
  </si>
  <si>
    <t>Mekanik Yapıda Çizik Var Furkan  Canbay ın Onayı İle Gitti-Sertifika Proğramı Sisteme Yüklenmediği İçin Sertifikaları Alınamadı</t>
  </si>
  <si>
    <t>MAYIS</t>
  </si>
  <si>
    <t>HAZİRAN</t>
  </si>
  <si>
    <t>Mekanik Yapıda Çizikler Var</t>
  </si>
  <si>
    <t>Cam Kırık</t>
  </si>
  <si>
    <t>Cam ve Kutuda Çizik Var Furkan Canbay ın Onayı İle Gitti</t>
  </si>
  <si>
    <t>Camda Kırık Var Furkan Canbay ın Onayı İle Gönderildi,  Cam Çizik, Ürün Değiştirildi, İşlem Sırasında Mıknatıs Yuvaları Çatladı</t>
  </si>
  <si>
    <t>Camda Derin Çizik Var Furkan Canbay ın Onayı İle Gitti,  Siparişteki Piranometre Difizörde Derin Çizikler Var Furkan Canbay ın Onayı İle Gitti</t>
  </si>
  <si>
    <t>Cam Çizik Olduğu İçin Değiştirildi</t>
  </si>
  <si>
    <t>Erkek konnektörde lehim hatası</t>
  </si>
  <si>
    <t>Taş Direnç Takılı  Değil</t>
  </si>
  <si>
    <t>Taş Direnç Takılmamış</t>
  </si>
  <si>
    <t>Entegre Bacağı Lehimlenmemiş Ayrıca Lehimler Çok Kötü</t>
  </si>
  <si>
    <t>Dizgiden Gelen Step Motorlar Çalışmıyor,   Komponentler Düzgün Dizilmemiş Klemens Plastiği Erimiş,  Dizgiden Gelen Kart Çalışmıyor</t>
  </si>
  <si>
    <t>Taş Direnç Takılmamış, Taş Direnç Lehimleri Kopmuş</t>
  </si>
  <si>
    <t xml:space="preserve">Kart Üzerindeki Rüzgar Hız Klemensinin Tek Bacağı Lehimlenmemiş </t>
  </si>
  <si>
    <t>Kart Çalışışmıyor Dizgide Tamir Edildi</t>
  </si>
  <si>
    <t>ucl</t>
  </si>
  <si>
    <t>lcl</t>
  </si>
  <si>
    <t>Kontrol</t>
  </si>
  <si>
    <t>Piranometrelere sonradan yapılan yazılım güncellemesinden dolayı sw değerleri ürünün içinde başka etiket ve markalamada bakadır Gülbahar Güven onayı ile gitmiştir</t>
  </si>
  <si>
    <t>Ürünün Üzerinde 3S-IS-2-AT Markalaması Var Fakat Müşteri Harici Olarak Rüzgar Hız İstemiş Özcan Bey Müşterinin Bilgisi Olduğunu Belirtti</t>
  </si>
  <si>
    <t>Markalama Hatası</t>
  </si>
  <si>
    <t>İlk Testte Kalibrasyon Değeri Yanlış Yazıldığı İçin Markalma Yanlış Yapılmış</t>
  </si>
  <si>
    <t>ADC Girilmemiş</t>
  </si>
  <si>
    <t>ADC Değeri 12 Girilmiş Kapalı İken 7 Gösteriyor</t>
  </si>
  <si>
    <t>ADC Değerleri Yüksek Girilmiş</t>
  </si>
  <si>
    <t xml:space="preserve">ADC Çok Dalgalı </t>
  </si>
  <si>
    <t xml:space="preserve">assignable cause  </t>
  </si>
  <si>
    <t>PARAMETRELER</t>
  </si>
  <si>
    <t>k (CUSUM referans değeri)</t>
  </si>
  <si>
    <t>H (CUSUM karar aralığı, sigma)</t>
  </si>
  <si>
    <t>λ (EWMA ağırlık katsayısı)</t>
  </si>
  <si>
    <t>L (EWMA kontrol limiti, sigma)</t>
  </si>
  <si>
    <t>Not: z, her noktanın p̄'den standart sapma cinsinden farkıdır (z=(p-p̄)/σ). Örneklem büyüklüğü (n) gün gün değiştiği için CUSUM ve EWMA standartlaştırılmış z değeri üzerinden hesaplanmıştır. Bu, p-chart'ın yakalayamadığı küçük/kalıcı kaymaları erken tespit etmek içindir.</t>
  </si>
  <si>
    <t>YAZILIM SW HATASI — CUSUM / EWMA</t>
  </si>
  <si>
    <t>ELEKTRONİK - FONKSİYON HATASI — CUSUM / EWMA</t>
  </si>
  <si>
    <t>Tarih</t>
  </si>
  <si>
    <t>n</t>
  </si>
  <si>
    <t>d</t>
  </si>
  <si>
    <t>sigma_i</t>
  </si>
  <si>
    <t>z_i (standart)</t>
  </si>
  <si>
    <t>CUSUM+</t>
  </si>
  <si>
    <t>CUSUM-</t>
  </si>
  <si>
    <t>+H</t>
  </si>
  <si>
    <t>-H</t>
  </si>
  <si>
    <t>EWMA (z)</t>
  </si>
  <si>
    <t>+Limit</t>
  </si>
  <si>
    <t>-Limit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</si>
</sst>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6" x14ac:knownFonts="1">
    <font>
      <sz val="11"/>
      <color theme="1"/>
      <name val="Calibri"/>
      <family val="2"/>
      <scheme val="minor"/>
    </font>
    <font>
      <b/>
      <sz val="12"/>
      <color rgb="FF000000"/>
      <name val="Tahoma"/>
      <family val="2"/>
      <charset val="162"/>
    </font>
    <font>
      <b/>
      <sz val="8"/>
      <color rgb="FF000000"/>
      <name val="Tahoma"/>
      <family val="2"/>
      <charset val="162"/>
    </font>
    <font>
      <sz val="8"/>
      <color rgb="FF000000"/>
      <name val="Tahoma"/>
      <family val="2"/>
      <charset val="162"/>
    </font>
    <font>
      <sz val="10"/>
      <color theme="1"/>
      <name val="Tahoma"/>
      <family val="2"/>
      <charset val="162"/>
    </font>
    <font>
      <sz val="11"/>
      <color rgb="FF000000"/>
      <name val="Tahoma"/>
      <family val="2"/>
      <charset val="162"/>
    </font>
    <font>
      <b/>
      <sz val="11"/>
      <color rgb="FF000000"/>
      <name val="Tahoma"/>
      <family val="2"/>
      <charset val="162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  <charset val="162"/>
    </font>
    <font>
      <sz val="11"/>
      <name val="Calibri"/>
      <family val="2"/>
      <charset val="162"/>
    </font>
    <font>
      <b/>
      <i/>
      <sz val="11"/>
      <name val="Tahoma"/>
      <family val="2"/>
      <charset val="162"/>
    </font>
    <font>
      <b/>
      <sz val="11"/>
      <name val="Tahoma"/>
      <family val="2"/>
      <charset val="162"/>
    </font>
    <font>
      <i/>
      <sz val="9"/>
      <color rgb="FF808080"/>
      <name val="Calibri"/>
      <family val="2"/>
      <charset val="162"/>
    </font>
    <font>
      <b/>
      <sz val="12"/>
      <name val="Tahoma"/>
      <family val="2"/>
      <charset val="162"/>
    </font>
    <font>
      <b/>
      <sz val="11"/>
      <color rgb="FF0000FF"/>
      <name val="Calibri"/>
      <family val="2"/>
      <charset val="162"/>
    </font>
    <font>
      <b/>
      <sz val="13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C5E0B4"/>
        <bgColor rgb="FFC5E0B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5E0B4"/>
      </patternFill>
    </fill>
    <fill>
      <patternFill patternType="solid">
        <fgColor rgb="FFE2EFDA"/>
      </patternFill>
    </fill>
    <fill>
      <patternFill patternType="solid">
        <fgColor rgb="FFF8CBAD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7" fillId="5" borderId="5" xfId="0" applyFont="1" applyFill="1" applyBorder="1" applyAlignment="1">
      <alignment horizontal="left"/>
    </xf>
    <xf numFmtId="0" fontId="7" fillId="5" borderId="5" xfId="0" applyFont="1" applyFill="1" applyBorder="1"/>
    <xf numFmtId="14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4" fontId="3" fillId="4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 vertical="center" wrapText="1"/>
    </xf>
    <xf numFmtId="14" fontId="0" fillId="7" borderId="0" xfId="0" applyNumberFormat="1" applyFill="1" applyAlignment="1">
      <alignment horizontal="left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14" fontId="0" fillId="8" borderId="0" xfId="0" applyNumberFormat="1" applyFill="1" applyAlignment="1">
      <alignment horizontal="left"/>
    </xf>
    <xf numFmtId="0" fontId="0" fillId="8" borderId="0" xfId="0" applyFill="1"/>
    <xf numFmtId="0" fontId="3" fillId="8" borderId="0" xfId="0" applyFont="1" applyFill="1" applyAlignment="1">
      <alignment vertical="center"/>
    </xf>
    <xf numFmtId="0" fontId="9" fillId="8" borderId="0" xfId="0" applyFont="1" applyFill="1"/>
    <xf numFmtId="0" fontId="9" fillId="8" borderId="0" xfId="0" applyFont="1" applyFill="1" applyAlignment="1">
      <alignment horizontal="center"/>
    </xf>
    <xf numFmtId="14" fontId="10" fillId="0" borderId="0" xfId="0" applyNumberFormat="1" applyFont="1" applyAlignment="1">
      <alignment horizontal="left"/>
    </xf>
    <xf numFmtId="164" fontId="11" fillId="0" borderId="0" xfId="0" applyNumberFormat="1" applyFont="1"/>
    <xf numFmtId="14" fontId="12" fillId="0" borderId="0" xfId="0" applyNumberFormat="1" applyFont="1" applyAlignment="1">
      <alignment horizontal="left"/>
    </xf>
    <xf numFmtId="14" fontId="13" fillId="0" borderId="0" xfId="0" applyNumberFormat="1" applyFont="1" applyAlignment="1">
      <alignment horizontal="left"/>
    </xf>
    <xf numFmtId="14" fontId="8" fillId="6" borderId="0" xfId="0" applyNumberFormat="1" applyFont="1" applyFill="1" applyAlignment="1">
      <alignment horizontal="center" vertical="center" wrapText="1"/>
    </xf>
    <xf numFmtId="14" fontId="9" fillId="0" borderId="0" xfId="0" applyNumberFormat="1" applyFont="1" applyAlignment="1">
      <alignment horizontal="left"/>
    </xf>
    <xf numFmtId="0" fontId="9" fillId="0" borderId="0" xfId="0" applyFont="1"/>
    <xf numFmtId="0" fontId="9" fillId="3" borderId="0" xfId="0" applyFont="1" applyFill="1" applyAlignment="1">
      <alignment vertical="center"/>
    </xf>
    <xf numFmtId="0" fontId="13" fillId="0" borderId="0" xfId="0" applyFont="1"/>
    <xf numFmtId="0" fontId="14" fillId="9" borderId="0" xfId="0" applyFont="1" applyFill="1"/>
    <xf numFmtId="0" fontId="15" fillId="0" borderId="0" xfId="0" applyFont="1"/>
    <xf numFmtId="14" fontId="9" fillId="0" borderId="0" xfId="0" applyNumberFormat="1" applyFont="1"/>
    <xf numFmtId="0" fontId="12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Mechanical Assembly </a:t>
            </a:r>
            <a:r>
              <a:rPr lang="tr-TR" baseline="0"/>
              <a:t>p-Chart</a:t>
            </a:r>
            <a:endParaRPr lang="tr-T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237758092738408"/>
          <c:y val="0.1994907407407408"/>
          <c:w val="0.83892125984251964"/>
          <c:h val="0.49559529017206178"/>
        </c:manualLayout>
      </c:layout>
      <c:lineChart>
        <c:grouping val="standard"/>
        <c:varyColors val="0"/>
        <c:ser>
          <c:idx val="0"/>
          <c:order val="0"/>
          <c:tx>
            <c:strRef>
              <c:f>'Mekanik Montaj'!$D$1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'Mekanik Montaj'!$A$2:$A$148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46086</c:v>
                </c:pt>
                <c:pt idx="35">
                  <c:v>46087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46096</c:v>
                </c:pt>
                <c:pt idx="42">
                  <c:v>46097</c:v>
                </c:pt>
                <c:pt idx="43">
                  <c:v>46098</c:v>
                </c:pt>
                <c:pt idx="44">
                  <c:v>46099</c:v>
                </c:pt>
                <c:pt idx="45">
                  <c:v>46101</c:v>
                </c:pt>
                <c:pt idx="46">
                  <c:v>46105</c:v>
                </c:pt>
                <c:pt idx="47">
                  <c:v>46106</c:v>
                </c:pt>
                <c:pt idx="48">
                  <c:v>46107</c:v>
                </c:pt>
                <c:pt idx="49">
                  <c:v>46108</c:v>
                </c:pt>
                <c:pt idx="50">
                  <c:v>46111</c:v>
                </c:pt>
                <c:pt idx="51">
                  <c:v>46112</c:v>
                </c:pt>
                <c:pt idx="52">
                  <c:v>46113</c:v>
                </c:pt>
                <c:pt idx="53">
                  <c:v>46115</c:v>
                </c:pt>
                <c:pt idx="54">
                  <c:v>46118</c:v>
                </c:pt>
                <c:pt idx="55">
                  <c:v>46119</c:v>
                </c:pt>
                <c:pt idx="56">
                  <c:v>46120</c:v>
                </c:pt>
                <c:pt idx="57">
                  <c:v>46121</c:v>
                </c:pt>
                <c:pt idx="58">
                  <c:v>46122</c:v>
                </c:pt>
                <c:pt idx="59">
                  <c:v>46125</c:v>
                </c:pt>
                <c:pt idx="60">
                  <c:v>46126</c:v>
                </c:pt>
                <c:pt idx="61">
                  <c:v>46127</c:v>
                </c:pt>
                <c:pt idx="62">
                  <c:v>46128</c:v>
                </c:pt>
                <c:pt idx="63">
                  <c:v>46132</c:v>
                </c:pt>
                <c:pt idx="64">
                  <c:v>46133</c:v>
                </c:pt>
                <c:pt idx="65">
                  <c:v>46134</c:v>
                </c:pt>
                <c:pt idx="66">
                  <c:v>46136</c:v>
                </c:pt>
                <c:pt idx="67">
                  <c:v>46139</c:v>
                </c:pt>
                <c:pt idx="68">
                  <c:v>46140</c:v>
                </c:pt>
                <c:pt idx="69">
                  <c:v>46141</c:v>
                </c:pt>
                <c:pt idx="70">
                  <c:v>46142</c:v>
                </c:pt>
                <c:pt idx="71">
                  <c:v>46147</c:v>
                </c:pt>
                <c:pt idx="72">
                  <c:v>46148</c:v>
                </c:pt>
                <c:pt idx="73">
                  <c:v>46149</c:v>
                </c:pt>
                <c:pt idx="74">
                  <c:v>46150</c:v>
                </c:pt>
                <c:pt idx="75">
                  <c:v>46153</c:v>
                </c:pt>
                <c:pt idx="76">
                  <c:v>46156</c:v>
                </c:pt>
                <c:pt idx="77">
                  <c:v>46160</c:v>
                </c:pt>
                <c:pt idx="78">
                  <c:v>46163</c:v>
                </c:pt>
                <c:pt idx="79">
                  <c:v>46176</c:v>
                </c:pt>
                <c:pt idx="80">
                  <c:v>46177</c:v>
                </c:pt>
                <c:pt idx="81">
                  <c:v>46178</c:v>
                </c:pt>
                <c:pt idx="82">
                  <c:v>46181</c:v>
                </c:pt>
                <c:pt idx="83">
                  <c:v>46182</c:v>
                </c:pt>
                <c:pt idx="84">
                  <c:v>46183</c:v>
                </c:pt>
                <c:pt idx="85">
                  <c:v>46184</c:v>
                </c:pt>
                <c:pt idx="86">
                  <c:v>46185</c:v>
                </c:pt>
                <c:pt idx="87">
                  <c:v>46186</c:v>
                </c:pt>
                <c:pt idx="88">
                  <c:v>46188</c:v>
                </c:pt>
                <c:pt idx="89">
                  <c:v>46189</c:v>
                </c:pt>
                <c:pt idx="90">
                  <c:v>46190</c:v>
                </c:pt>
                <c:pt idx="91">
                  <c:v>46191</c:v>
                </c:pt>
                <c:pt idx="92">
                  <c:v>46192</c:v>
                </c:pt>
                <c:pt idx="93">
                  <c:v>46195</c:v>
                </c:pt>
                <c:pt idx="94">
                  <c:v>46196</c:v>
                </c:pt>
                <c:pt idx="95">
                  <c:v>46197</c:v>
                </c:pt>
                <c:pt idx="96">
                  <c:v>46198</c:v>
                </c:pt>
                <c:pt idx="97">
                  <c:v>46199</c:v>
                </c:pt>
                <c:pt idx="98">
                  <c:v>46203</c:v>
                </c:pt>
                <c:pt idx="99">
                  <c:v>46205</c:v>
                </c:pt>
                <c:pt idx="100">
                  <c:v>46206</c:v>
                </c:pt>
                <c:pt idx="101">
                  <c:v>46207</c:v>
                </c:pt>
                <c:pt idx="102">
                  <c:v>46209</c:v>
                </c:pt>
                <c:pt idx="103">
                  <c:v>46210</c:v>
                </c:pt>
                <c:pt idx="104">
                  <c:v>46211</c:v>
                </c:pt>
                <c:pt idx="105">
                  <c:v>46212</c:v>
                </c:pt>
                <c:pt idx="106">
                  <c:v>46213</c:v>
                </c:pt>
                <c:pt idx="107">
                  <c:v>46216</c:v>
                </c:pt>
                <c:pt idx="108">
                  <c:v>46217</c:v>
                </c:pt>
                <c:pt idx="109">
                  <c:v>46219</c:v>
                </c:pt>
                <c:pt idx="110">
                  <c:v>46220</c:v>
                </c:pt>
                <c:pt idx="111">
                  <c:v>46221</c:v>
                </c:pt>
                <c:pt idx="112">
                  <c:v>46223</c:v>
                </c:pt>
                <c:pt idx="113">
                  <c:v>46224</c:v>
                </c:pt>
                <c:pt idx="114">
                  <c:v>46225</c:v>
                </c:pt>
                <c:pt idx="115">
                  <c:v>46226</c:v>
                </c:pt>
                <c:pt idx="116">
                  <c:v>46227</c:v>
                </c:pt>
                <c:pt idx="117">
                  <c:v>46228</c:v>
                </c:pt>
                <c:pt idx="118">
                  <c:v>46229</c:v>
                </c:pt>
                <c:pt idx="119">
                  <c:v>46230</c:v>
                </c:pt>
                <c:pt idx="120">
                  <c:v>46231</c:v>
                </c:pt>
                <c:pt idx="121">
                  <c:v>46232</c:v>
                </c:pt>
                <c:pt idx="122">
                  <c:v>46233</c:v>
                </c:pt>
                <c:pt idx="123">
                  <c:v>46234</c:v>
                </c:pt>
                <c:pt idx="124">
                  <c:v>46237</c:v>
                </c:pt>
                <c:pt idx="125">
                  <c:v>46238</c:v>
                </c:pt>
                <c:pt idx="126">
                  <c:v>46239</c:v>
                </c:pt>
                <c:pt idx="127">
                  <c:v>46240</c:v>
                </c:pt>
                <c:pt idx="128">
                  <c:v>46241</c:v>
                </c:pt>
                <c:pt idx="129">
                  <c:v>46242</c:v>
                </c:pt>
                <c:pt idx="130">
                  <c:v>46244</c:v>
                </c:pt>
                <c:pt idx="131">
                  <c:v>46245</c:v>
                </c:pt>
                <c:pt idx="132">
                  <c:v>46246</c:v>
                </c:pt>
                <c:pt idx="133">
                  <c:v>46247</c:v>
                </c:pt>
                <c:pt idx="134">
                  <c:v>46248</c:v>
                </c:pt>
                <c:pt idx="135">
                  <c:v>46250</c:v>
                </c:pt>
                <c:pt idx="136">
                  <c:v>46251</c:v>
                </c:pt>
                <c:pt idx="137">
                  <c:v>46252</c:v>
                </c:pt>
                <c:pt idx="138">
                  <c:v>46253</c:v>
                </c:pt>
                <c:pt idx="139">
                  <c:v>46254</c:v>
                </c:pt>
                <c:pt idx="140">
                  <c:v>46255</c:v>
                </c:pt>
                <c:pt idx="141">
                  <c:v>46256</c:v>
                </c:pt>
                <c:pt idx="142">
                  <c:v>46258</c:v>
                </c:pt>
                <c:pt idx="143">
                  <c:v>46259</c:v>
                </c:pt>
                <c:pt idx="144">
                  <c:v>46260</c:v>
                </c:pt>
                <c:pt idx="145">
                  <c:v>46261</c:v>
                </c:pt>
                <c:pt idx="146">
                  <c:v>46262</c:v>
                </c:pt>
              </c:numCache>
            </c:numRef>
          </c:cat>
          <c:val>
            <c:numRef>
              <c:f>'Mekanik Montaj'!$D$2:$D$148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0.1111111111111111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0.3</c:v>
                </c:pt>
                <c:pt idx="16">
                  <c:v>0</c:v>
                </c:pt>
                <c:pt idx="17">
                  <c:v>0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0.99255583126550873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7.462686567164179E-3</c:v>
                </c:pt>
                <c:pt idx="33">
                  <c:v>2.6548672566371681E-2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1.7857142857142856E-2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5.2631578947368418E-2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4.7619047619047616E-2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0.33333333333333331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9.0909090909090912E-2</c:v>
                </c:pt>
                <c:pt idx="92">
                  <c:v>3.6363636363636362E-2</c:v>
                </c:pt>
                <c:pt idx="93">
                  <c:v>0.4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0.29545454545454547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16-4998-9215-0D5999D19F24}"/>
            </c:ext>
          </c:extLst>
        </c:ser>
        <c:ser>
          <c:idx val="1"/>
          <c:order val="1"/>
          <c:tx>
            <c:strRef>
              <c:f>'Mekanik Montaj'!$E$1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'Mekanik Montaj'!$A$2:$A$148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46086</c:v>
                </c:pt>
                <c:pt idx="35">
                  <c:v>46087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46096</c:v>
                </c:pt>
                <c:pt idx="42">
                  <c:v>46097</c:v>
                </c:pt>
                <c:pt idx="43">
                  <c:v>46098</c:v>
                </c:pt>
                <c:pt idx="44">
                  <c:v>46099</c:v>
                </c:pt>
                <c:pt idx="45">
                  <c:v>46101</c:v>
                </c:pt>
                <c:pt idx="46">
                  <c:v>46105</c:v>
                </c:pt>
                <c:pt idx="47">
                  <c:v>46106</c:v>
                </c:pt>
                <c:pt idx="48">
                  <c:v>46107</c:v>
                </c:pt>
                <c:pt idx="49">
                  <c:v>46108</c:v>
                </c:pt>
                <c:pt idx="50">
                  <c:v>46111</c:v>
                </c:pt>
                <c:pt idx="51">
                  <c:v>46112</c:v>
                </c:pt>
                <c:pt idx="52">
                  <c:v>46113</c:v>
                </c:pt>
                <c:pt idx="53">
                  <c:v>46115</c:v>
                </c:pt>
                <c:pt idx="54">
                  <c:v>46118</c:v>
                </c:pt>
                <c:pt idx="55">
                  <c:v>46119</c:v>
                </c:pt>
                <c:pt idx="56">
                  <c:v>46120</c:v>
                </c:pt>
                <c:pt idx="57">
                  <c:v>46121</c:v>
                </c:pt>
                <c:pt idx="58">
                  <c:v>46122</c:v>
                </c:pt>
                <c:pt idx="59">
                  <c:v>46125</c:v>
                </c:pt>
                <c:pt idx="60">
                  <c:v>46126</c:v>
                </c:pt>
                <c:pt idx="61">
                  <c:v>46127</c:v>
                </c:pt>
                <c:pt idx="62">
                  <c:v>46128</c:v>
                </c:pt>
                <c:pt idx="63">
                  <c:v>46132</c:v>
                </c:pt>
                <c:pt idx="64">
                  <c:v>46133</c:v>
                </c:pt>
                <c:pt idx="65">
                  <c:v>46134</c:v>
                </c:pt>
                <c:pt idx="66">
                  <c:v>46136</c:v>
                </c:pt>
                <c:pt idx="67">
                  <c:v>46139</c:v>
                </c:pt>
                <c:pt idx="68">
                  <c:v>46140</c:v>
                </c:pt>
                <c:pt idx="69">
                  <c:v>46141</c:v>
                </c:pt>
                <c:pt idx="70">
                  <c:v>46142</c:v>
                </c:pt>
                <c:pt idx="71">
                  <c:v>46147</c:v>
                </c:pt>
                <c:pt idx="72">
                  <c:v>46148</c:v>
                </c:pt>
                <c:pt idx="73">
                  <c:v>46149</c:v>
                </c:pt>
                <c:pt idx="74">
                  <c:v>46150</c:v>
                </c:pt>
                <c:pt idx="75">
                  <c:v>46153</c:v>
                </c:pt>
                <c:pt idx="76">
                  <c:v>46156</c:v>
                </c:pt>
                <c:pt idx="77">
                  <c:v>46160</c:v>
                </c:pt>
                <c:pt idx="78">
                  <c:v>46163</c:v>
                </c:pt>
                <c:pt idx="79">
                  <c:v>46176</c:v>
                </c:pt>
                <c:pt idx="80">
                  <c:v>46177</c:v>
                </c:pt>
                <c:pt idx="81">
                  <c:v>46178</c:v>
                </c:pt>
                <c:pt idx="82">
                  <c:v>46181</c:v>
                </c:pt>
                <c:pt idx="83">
                  <c:v>46182</c:v>
                </c:pt>
                <c:pt idx="84">
                  <c:v>46183</c:v>
                </c:pt>
                <c:pt idx="85">
                  <c:v>46184</c:v>
                </c:pt>
                <c:pt idx="86">
                  <c:v>46185</c:v>
                </c:pt>
                <c:pt idx="87">
                  <c:v>46186</c:v>
                </c:pt>
                <c:pt idx="88">
                  <c:v>46188</c:v>
                </c:pt>
                <c:pt idx="89">
                  <c:v>46189</c:v>
                </c:pt>
                <c:pt idx="90">
                  <c:v>46190</c:v>
                </c:pt>
                <c:pt idx="91">
                  <c:v>46191</c:v>
                </c:pt>
                <c:pt idx="92">
                  <c:v>46192</c:v>
                </c:pt>
                <c:pt idx="93">
                  <c:v>46195</c:v>
                </c:pt>
                <c:pt idx="94">
                  <c:v>46196</c:v>
                </c:pt>
                <c:pt idx="95">
                  <c:v>46197</c:v>
                </c:pt>
                <c:pt idx="96">
                  <c:v>46198</c:v>
                </c:pt>
                <c:pt idx="97">
                  <c:v>46199</c:v>
                </c:pt>
                <c:pt idx="98">
                  <c:v>46203</c:v>
                </c:pt>
                <c:pt idx="99">
                  <c:v>46205</c:v>
                </c:pt>
                <c:pt idx="100">
                  <c:v>46206</c:v>
                </c:pt>
                <c:pt idx="101">
                  <c:v>46207</c:v>
                </c:pt>
                <c:pt idx="102">
                  <c:v>46209</c:v>
                </c:pt>
                <c:pt idx="103">
                  <c:v>46210</c:v>
                </c:pt>
                <c:pt idx="104">
                  <c:v>46211</c:v>
                </c:pt>
                <c:pt idx="105">
                  <c:v>46212</c:v>
                </c:pt>
                <c:pt idx="106">
                  <c:v>46213</c:v>
                </c:pt>
                <c:pt idx="107">
                  <c:v>46216</c:v>
                </c:pt>
                <c:pt idx="108">
                  <c:v>46217</c:v>
                </c:pt>
                <c:pt idx="109">
                  <c:v>46219</c:v>
                </c:pt>
                <c:pt idx="110">
                  <c:v>46220</c:v>
                </c:pt>
                <c:pt idx="111">
                  <c:v>46221</c:v>
                </c:pt>
                <c:pt idx="112">
                  <c:v>46223</c:v>
                </c:pt>
                <c:pt idx="113">
                  <c:v>46224</c:v>
                </c:pt>
                <c:pt idx="114">
                  <c:v>46225</c:v>
                </c:pt>
                <c:pt idx="115">
                  <c:v>46226</c:v>
                </c:pt>
                <c:pt idx="116">
                  <c:v>46227</c:v>
                </c:pt>
                <c:pt idx="117">
                  <c:v>46228</c:v>
                </c:pt>
                <c:pt idx="118">
                  <c:v>46229</c:v>
                </c:pt>
                <c:pt idx="119">
                  <c:v>46230</c:v>
                </c:pt>
                <c:pt idx="120">
                  <c:v>46231</c:v>
                </c:pt>
                <c:pt idx="121">
                  <c:v>46232</c:v>
                </c:pt>
                <c:pt idx="122">
                  <c:v>46233</c:v>
                </c:pt>
                <c:pt idx="123">
                  <c:v>46234</c:v>
                </c:pt>
                <c:pt idx="124">
                  <c:v>46237</c:v>
                </c:pt>
                <c:pt idx="125">
                  <c:v>46238</c:v>
                </c:pt>
                <c:pt idx="126">
                  <c:v>46239</c:v>
                </c:pt>
                <c:pt idx="127">
                  <c:v>46240</c:v>
                </c:pt>
                <c:pt idx="128">
                  <c:v>46241</c:v>
                </c:pt>
                <c:pt idx="129">
                  <c:v>46242</c:v>
                </c:pt>
                <c:pt idx="130">
                  <c:v>46244</c:v>
                </c:pt>
                <c:pt idx="131">
                  <c:v>46245</c:v>
                </c:pt>
                <c:pt idx="132">
                  <c:v>46246</c:v>
                </c:pt>
                <c:pt idx="133">
                  <c:v>46247</c:v>
                </c:pt>
                <c:pt idx="134">
                  <c:v>46248</c:v>
                </c:pt>
                <c:pt idx="135">
                  <c:v>46250</c:v>
                </c:pt>
                <c:pt idx="136">
                  <c:v>46251</c:v>
                </c:pt>
                <c:pt idx="137">
                  <c:v>46252</c:v>
                </c:pt>
                <c:pt idx="138">
                  <c:v>46253</c:v>
                </c:pt>
                <c:pt idx="139">
                  <c:v>46254</c:v>
                </c:pt>
                <c:pt idx="140">
                  <c:v>46255</c:v>
                </c:pt>
                <c:pt idx="141">
                  <c:v>46256</c:v>
                </c:pt>
                <c:pt idx="142">
                  <c:v>46258</c:v>
                </c:pt>
                <c:pt idx="143">
                  <c:v>46259</c:v>
                </c:pt>
                <c:pt idx="144">
                  <c:v>46260</c:v>
                </c:pt>
                <c:pt idx="145">
                  <c:v>46261</c:v>
                </c:pt>
                <c:pt idx="146">
                  <c:v>46262</c:v>
                </c:pt>
              </c:numCache>
            </c:numRef>
          </c:cat>
          <c:val>
            <c:numRef>
              <c:f>'Mekanik Montaj'!$E$2:$E$148</c:f>
              <c:numCache>
                <c:formatCode>General</c:formatCode>
                <c:ptCount val="147"/>
                <c:pt idx="0">
                  <c:v>0.90873614770122035</c:v>
                </c:pt>
                <c:pt idx="1">
                  <c:v>0.33433399815258374</c:v>
                </c:pt>
                <c:pt idx="2">
                  <c:v>1.222843541346917</c:v>
                </c:pt>
                <c:pt idx="3">
                  <c:v>0.26957267607864865</c:v>
                </c:pt>
                <c:pt idx="4">
                  <c:v>0.58823141915174038</c:v>
                </c:pt>
                <c:pt idx="5">
                  <c:v>0.90873614770122035</c:v>
                </c:pt>
                <c:pt idx="6">
                  <c:v>0.45999761267382511</c:v>
                </c:pt>
                <c:pt idx="7">
                  <c:v>0.21074270324116201</c:v>
                </c:pt>
                <c:pt idx="8">
                  <c:v>0.50789039239571565</c:v>
                </c:pt>
                <c:pt idx="9">
                  <c:v>0.90873614770122035</c:v>
                </c:pt>
                <c:pt idx="10">
                  <c:v>0.22531555881262197</c:v>
                </c:pt>
                <c:pt idx="11">
                  <c:v>0.58823141915174038</c:v>
                </c:pt>
                <c:pt idx="12">
                  <c:v>0.90873614770122035</c:v>
                </c:pt>
                <c:pt idx="13">
                  <c:v>1.222843541346917</c:v>
                </c:pt>
                <c:pt idx="14">
                  <c:v>0.55575415317455756</c:v>
                </c:pt>
                <c:pt idx="15">
                  <c:v>0.48954587356942803</c:v>
                </c:pt>
                <c:pt idx="16">
                  <c:v>0.55575415317455756</c:v>
                </c:pt>
                <c:pt idx="17">
                  <c:v>0.36489976260547552</c:v>
                </c:pt>
                <c:pt idx="18">
                  <c:v>0.63001897045484068</c:v>
                </c:pt>
                <c:pt idx="19">
                  <c:v>0.90873614770122035</c:v>
                </c:pt>
                <c:pt idx="20">
                  <c:v>0.26605688906302366</c:v>
                </c:pt>
                <c:pt idx="21">
                  <c:v>0.41852124877681562</c:v>
                </c:pt>
                <c:pt idx="22">
                  <c:v>0.55575415317455756</c:v>
                </c:pt>
                <c:pt idx="23">
                  <c:v>0.4737635457956893</c:v>
                </c:pt>
                <c:pt idx="24">
                  <c:v>0.18818854379929598</c:v>
                </c:pt>
                <c:pt idx="25">
                  <c:v>0.52957498281066773</c:v>
                </c:pt>
                <c:pt idx="26">
                  <c:v>0.45999761267382511</c:v>
                </c:pt>
                <c:pt idx="27">
                  <c:v>0.63001897045484068</c:v>
                </c:pt>
                <c:pt idx="28">
                  <c:v>0.76958140742753511</c:v>
                </c:pt>
                <c:pt idx="29">
                  <c:v>0.90873614770122035</c:v>
                </c:pt>
                <c:pt idx="30">
                  <c:v>0.35308398554733639</c:v>
                </c:pt>
                <c:pt idx="31">
                  <c:v>0.90873614770122035</c:v>
                </c:pt>
                <c:pt idx="32">
                  <c:v>0.24305763559245164</c:v>
                </c:pt>
                <c:pt idx="33">
                  <c:v>0.25129951999035938</c:v>
                </c:pt>
                <c:pt idx="34">
                  <c:v>0.29003227571651663</c:v>
                </c:pt>
                <c:pt idx="35">
                  <c:v>0.90873614770122035</c:v>
                </c:pt>
                <c:pt idx="36">
                  <c:v>0.90873614770122035</c:v>
                </c:pt>
                <c:pt idx="37">
                  <c:v>0.90873614770122035</c:v>
                </c:pt>
                <c:pt idx="38">
                  <c:v>0.50789039239571565</c:v>
                </c:pt>
                <c:pt idx="39">
                  <c:v>0.37403087331784546</c:v>
                </c:pt>
                <c:pt idx="40">
                  <c:v>1.222843541346917</c:v>
                </c:pt>
                <c:pt idx="41">
                  <c:v>1.222843541346917</c:v>
                </c:pt>
                <c:pt idx="42">
                  <c:v>0.33709987035147015</c:v>
                </c:pt>
                <c:pt idx="43">
                  <c:v>0.41051623119897623</c:v>
                </c:pt>
                <c:pt idx="44">
                  <c:v>0.34621180154007708</c:v>
                </c:pt>
                <c:pt idx="45">
                  <c:v>1.222843541346917</c:v>
                </c:pt>
                <c:pt idx="46">
                  <c:v>0.24447212682758473</c:v>
                </c:pt>
                <c:pt idx="47">
                  <c:v>0.29372326779353758</c:v>
                </c:pt>
                <c:pt idx="48">
                  <c:v>1.222843541346917</c:v>
                </c:pt>
                <c:pt idx="49">
                  <c:v>0.37403087331784546</c:v>
                </c:pt>
                <c:pt idx="50">
                  <c:v>0.90873614770122035</c:v>
                </c:pt>
                <c:pt idx="51">
                  <c:v>0.39644606994467846</c:v>
                </c:pt>
                <c:pt idx="52">
                  <c:v>0.90873614770122035</c:v>
                </c:pt>
                <c:pt idx="53">
                  <c:v>0.52957498281066773</c:v>
                </c:pt>
                <c:pt idx="54">
                  <c:v>0.90873614770122035</c:v>
                </c:pt>
                <c:pt idx="55">
                  <c:v>0.43703271766696</c:v>
                </c:pt>
                <c:pt idx="56">
                  <c:v>0.52957498281066773</c:v>
                </c:pt>
                <c:pt idx="57">
                  <c:v>0.36489976260547552</c:v>
                </c:pt>
                <c:pt idx="58">
                  <c:v>1.222843541346917</c:v>
                </c:pt>
                <c:pt idx="59">
                  <c:v>0.31395781752489305</c:v>
                </c:pt>
                <c:pt idx="60">
                  <c:v>0.43703271766696</c:v>
                </c:pt>
                <c:pt idx="61">
                  <c:v>0.63001897045484068</c:v>
                </c:pt>
                <c:pt idx="62">
                  <c:v>0.29772336952535727</c:v>
                </c:pt>
                <c:pt idx="63">
                  <c:v>0.52957498281066773</c:v>
                </c:pt>
                <c:pt idx="64">
                  <c:v>0.39644606994467846</c:v>
                </c:pt>
                <c:pt idx="65">
                  <c:v>0.90873614770122035</c:v>
                </c:pt>
                <c:pt idx="66">
                  <c:v>0.30058401624353687</c:v>
                </c:pt>
                <c:pt idx="67">
                  <c:v>0.31589331684379041</c:v>
                </c:pt>
                <c:pt idx="68">
                  <c:v>0.2768008728836327</c:v>
                </c:pt>
                <c:pt idx="69">
                  <c:v>0.50789039239571565</c:v>
                </c:pt>
                <c:pt idx="70">
                  <c:v>0.52957498281066773</c:v>
                </c:pt>
                <c:pt idx="71">
                  <c:v>1.222843541346917</c:v>
                </c:pt>
                <c:pt idx="72">
                  <c:v>0.63001897045484068</c:v>
                </c:pt>
                <c:pt idx="73">
                  <c:v>0.58823141915174038</c:v>
                </c:pt>
                <c:pt idx="74">
                  <c:v>0.90873614770122035</c:v>
                </c:pt>
                <c:pt idx="75">
                  <c:v>1.222843541346917</c:v>
                </c:pt>
                <c:pt idx="76">
                  <c:v>0.27859368661414363</c:v>
                </c:pt>
                <c:pt idx="77">
                  <c:v>0.76958140742753511</c:v>
                </c:pt>
                <c:pt idx="78">
                  <c:v>0.90873614770122035</c:v>
                </c:pt>
                <c:pt idx="79">
                  <c:v>0.52957498281066773</c:v>
                </c:pt>
                <c:pt idx="80">
                  <c:v>0.40318792784715024</c:v>
                </c:pt>
                <c:pt idx="81">
                  <c:v>0.58823141915174038</c:v>
                </c:pt>
                <c:pt idx="82">
                  <c:v>0.33168752665041273</c:v>
                </c:pt>
                <c:pt idx="83">
                  <c:v>0.44785230693142269</c:v>
                </c:pt>
                <c:pt idx="84">
                  <c:v>0.2814319613423536</c:v>
                </c:pt>
                <c:pt idx="85">
                  <c:v>0.23886633070688942</c:v>
                </c:pt>
                <c:pt idx="86">
                  <c:v>0.68662867963351615</c:v>
                </c:pt>
                <c:pt idx="87">
                  <c:v>0.42731398184077046</c:v>
                </c:pt>
                <c:pt idx="88">
                  <c:v>0.63001897045484068</c:v>
                </c:pt>
                <c:pt idx="89">
                  <c:v>0.39644606994467846</c:v>
                </c:pt>
                <c:pt idx="90">
                  <c:v>0.50789039239571565</c:v>
                </c:pt>
                <c:pt idx="91">
                  <c:v>0.4737635457956893</c:v>
                </c:pt>
                <c:pt idx="92">
                  <c:v>0.2950202123272837</c:v>
                </c:pt>
                <c:pt idx="93">
                  <c:v>0.63001897045484068</c:v>
                </c:pt>
                <c:pt idx="94">
                  <c:v>0.28046502455954569</c:v>
                </c:pt>
                <c:pt idx="95">
                  <c:v>0.45999761267382511</c:v>
                </c:pt>
                <c:pt idx="96">
                  <c:v>0.306843770409855</c:v>
                </c:pt>
                <c:pt idx="97">
                  <c:v>0.76958140742753511</c:v>
                </c:pt>
                <c:pt idx="98">
                  <c:v>0.45999761267382511</c:v>
                </c:pt>
                <c:pt idx="99">
                  <c:v>0.41852124877681562</c:v>
                </c:pt>
                <c:pt idx="100">
                  <c:v>0.35680301442258844</c:v>
                </c:pt>
                <c:pt idx="101">
                  <c:v>0.22206854285682637</c:v>
                </c:pt>
                <c:pt idx="102">
                  <c:v>0.31208868185790223</c:v>
                </c:pt>
                <c:pt idx="103">
                  <c:v>0.4737635457956893</c:v>
                </c:pt>
                <c:pt idx="104">
                  <c:v>0.28886389988044281</c:v>
                </c:pt>
                <c:pt idx="105">
                  <c:v>0.31789920218883616</c:v>
                </c:pt>
                <c:pt idx="106">
                  <c:v>0.68662867963351615</c:v>
                </c:pt>
                <c:pt idx="107">
                  <c:v>0.76958140742753511</c:v>
                </c:pt>
                <c:pt idx="108">
                  <c:v>0.52957498281066773</c:v>
                </c:pt>
                <c:pt idx="109">
                  <c:v>0.31997984574477156</c:v>
                </c:pt>
                <c:pt idx="110">
                  <c:v>0.50789039239571565</c:v>
                </c:pt>
                <c:pt idx="111">
                  <c:v>0.76958140742753511</c:v>
                </c:pt>
                <c:pt idx="112">
                  <c:v>0.31589331684379041</c:v>
                </c:pt>
                <c:pt idx="113">
                  <c:v>0.2321858177225041</c:v>
                </c:pt>
                <c:pt idx="114">
                  <c:v>0.68662867963351615</c:v>
                </c:pt>
                <c:pt idx="115">
                  <c:v>0.36932261853592779</c:v>
                </c:pt>
                <c:pt idx="116">
                  <c:v>0.37905660319575846</c:v>
                </c:pt>
                <c:pt idx="117">
                  <c:v>0.90873614770122035</c:v>
                </c:pt>
                <c:pt idx="118">
                  <c:v>1.222843541346917</c:v>
                </c:pt>
                <c:pt idx="119">
                  <c:v>0.34621180154007708</c:v>
                </c:pt>
                <c:pt idx="120">
                  <c:v>0.55575415317455756</c:v>
                </c:pt>
                <c:pt idx="121">
                  <c:v>0.39021639418747789</c:v>
                </c:pt>
                <c:pt idx="122">
                  <c:v>0.39021639418747789</c:v>
                </c:pt>
                <c:pt idx="123">
                  <c:v>0.32915210515791543</c:v>
                </c:pt>
                <c:pt idx="124">
                  <c:v>0.68662867963351615</c:v>
                </c:pt>
                <c:pt idx="125">
                  <c:v>0.52957498281066773</c:v>
                </c:pt>
                <c:pt idx="126">
                  <c:v>0.23315356738195278</c:v>
                </c:pt>
                <c:pt idx="127">
                  <c:v>0.27593222303721709</c:v>
                </c:pt>
                <c:pt idx="128">
                  <c:v>0.33433399815258374</c:v>
                </c:pt>
                <c:pt idx="129">
                  <c:v>1.222843541346917</c:v>
                </c:pt>
                <c:pt idx="130">
                  <c:v>0.37905660319575846</c:v>
                </c:pt>
                <c:pt idx="131">
                  <c:v>0.33168752665041273</c:v>
                </c:pt>
                <c:pt idx="132">
                  <c:v>0.23148188497100364</c:v>
                </c:pt>
                <c:pt idx="133">
                  <c:v>0.50789039239571565</c:v>
                </c:pt>
                <c:pt idx="134">
                  <c:v>0.34621180154007708</c:v>
                </c:pt>
                <c:pt idx="135">
                  <c:v>0.90873614770122035</c:v>
                </c:pt>
                <c:pt idx="136">
                  <c:v>0.28242079154727362</c:v>
                </c:pt>
                <c:pt idx="137">
                  <c:v>0.306843770409855</c:v>
                </c:pt>
                <c:pt idx="138">
                  <c:v>0.38443716959268065</c:v>
                </c:pt>
                <c:pt idx="139">
                  <c:v>0.36489976260547552</c:v>
                </c:pt>
                <c:pt idx="140">
                  <c:v>0.22459533303753643</c:v>
                </c:pt>
                <c:pt idx="141">
                  <c:v>0.37403087331784546</c:v>
                </c:pt>
                <c:pt idx="142">
                  <c:v>0.31589331684379041</c:v>
                </c:pt>
                <c:pt idx="143">
                  <c:v>0.41051623119897623</c:v>
                </c:pt>
                <c:pt idx="144">
                  <c:v>0.30853495418081811</c:v>
                </c:pt>
                <c:pt idx="145">
                  <c:v>0.23519683183244339</c:v>
                </c:pt>
                <c:pt idx="146">
                  <c:v>0.29246060485582664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16-4998-9215-0D5999D19F24}"/>
            </c:ext>
          </c:extLst>
        </c:ser>
        <c:ser>
          <c:idx val="2"/>
          <c:order val="2"/>
          <c:tx>
            <c:strRef>
              <c:f>'Mekanik Montaj'!$F$1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'Mekanik Montaj'!$A$2:$A$148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46086</c:v>
                </c:pt>
                <c:pt idx="35">
                  <c:v>46087</c:v>
                </c:pt>
                <c:pt idx="36">
                  <c:v>46090</c:v>
                </c:pt>
                <c:pt idx="37">
                  <c:v>46091</c:v>
                </c:pt>
                <c:pt idx="38">
                  <c:v>46092</c:v>
                </c:pt>
                <c:pt idx="39">
                  <c:v>46093</c:v>
                </c:pt>
                <c:pt idx="40">
                  <c:v>46094</c:v>
                </c:pt>
                <c:pt idx="41">
                  <c:v>46096</c:v>
                </c:pt>
                <c:pt idx="42">
                  <c:v>46097</c:v>
                </c:pt>
                <c:pt idx="43">
                  <c:v>46098</c:v>
                </c:pt>
                <c:pt idx="44">
                  <c:v>46099</c:v>
                </c:pt>
                <c:pt idx="45">
                  <c:v>46101</c:v>
                </c:pt>
                <c:pt idx="46">
                  <c:v>46105</c:v>
                </c:pt>
                <c:pt idx="47">
                  <c:v>46106</c:v>
                </c:pt>
                <c:pt idx="48">
                  <c:v>46107</c:v>
                </c:pt>
                <c:pt idx="49">
                  <c:v>46108</c:v>
                </c:pt>
                <c:pt idx="50">
                  <c:v>46111</c:v>
                </c:pt>
                <c:pt idx="51">
                  <c:v>46112</c:v>
                </c:pt>
                <c:pt idx="52">
                  <c:v>46113</c:v>
                </c:pt>
                <c:pt idx="53">
                  <c:v>46115</c:v>
                </c:pt>
                <c:pt idx="54">
                  <c:v>46118</c:v>
                </c:pt>
                <c:pt idx="55">
                  <c:v>46119</c:v>
                </c:pt>
                <c:pt idx="56">
                  <c:v>46120</c:v>
                </c:pt>
                <c:pt idx="57">
                  <c:v>46121</c:v>
                </c:pt>
                <c:pt idx="58">
                  <c:v>46122</c:v>
                </c:pt>
                <c:pt idx="59">
                  <c:v>46125</c:v>
                </c:pt>
                <c:pt idx="60">
                  <c:v>46126</c:v>
                </c:pt>
                <c:pt idx="61">
                  <c:v>46127</c:v>
                </c:pt>
                <c:pt idx="62">
                  <c:v>46128</c:v>
                </c:pt>
                <c:pt idx="63">
                  <c:v>46132</c:v>
                </c:pt>
                <c:pt idx="64">
                  <c:v>46133</c:v>
                </c:pt>
                <c:pt idx="65">
                  <c:v>46134</c:v>
                </c:pt>
                <c:pt idx="66">
                  <c:v>46136</c:v>
                </c:pt>
                <c:pt idx="67">
                  <c:v>46139</c:v>
                </c:pt>
                <c:pt idx="68">
                  <c:v>46140</c:v>
                </c:pt>
                <c:pt idx="69">
                  <c:v>46141</c:v>
                </c:pt>
                <c:pt idx="70">
                  <c:v>46142</c:v>
                </c:pt>
                <c:pt idx="71">
                  <c:v>46147</c:v>
                </c:pt>
                <c:pt idx="72">
                  <c:v>46148</c:v>
                </c:pt>
                <c:pt idx="73">
                  <c:v>46149</c:v>
                </c:pt>
                <c:pt idx="74">
                  <c:v>46150</c:v>
                </c:pt>
                <c:pt idx="75">
                  <c:v>46153</c:v>
                </c:pt>
                <c:pt idx="76">
                  <c:v>46156</c:v>
                </c:pt>
                <c:pt idx="77">
                  <c:v>46160</c:v>
                </c:pt>
                <c:pt idx="78">
                  <c:v>46163</c:v>
                </c:pt>
                <c:pt idx="79">
                  <c:v>46176</c:v>
                </c:pt>
                <c:pt idx="80">
                  <c:v>46177</c:v>
                </c:pt>
                <c:pt idx="81">
                  <c:v>46178</c:v>
                </c:pt>
                <c:pt idx="82">
                  <c:v>46181</c:v>
                </c:pt>
                <c:pt idx="83">
                  <c:v>46182</c:v>
                </c:pt>
                <c:pt idx="84">
                  <c:v>46183</c:v>
                </c:pt>
                <c:pt idx="85">
                  <c:v>46184</c:v>
                </c:pt>
                <c:pt idx="86">
                  <c:v>46185</c:v>
                </c:pt>
                <c:pt idx="87">
                  <c:v>46186</c:v>
                </c:pt>
                <c:pt idx="88">
                  <c:v>46188</c:v>
                </c:pt>
                <c:pt idx="89">
                  <c:v>46189</c:v>
                </c:pt>
                <c:pt idx="90">
                  <c:v>46190</c:v>
                </c:pt>
                <c:pt idx="91">
                  <c:v>46191</c:v>
                </c:pt>
                <c:pt idx="92">
                  <c:v>46192</c:v>
                </c:pt>
                <c:pt idx="93">
                  <c:v>46195</c:v>
                </c:pt>
                <c:pt idx="94">
                  <c:v>46196</c:v>
                </c:pt>
                <c:pt idx="95">
                  <c:v>46197</c:v>
                </c:pt>
                <c:pt idx="96">
                  <c:v>46198</c:v>
                </c:pt>
                <c:pt idx="97">
                  <c:v>46199</c:v>
                </c:pt>
                <c:pt idx="98">
                  <c:v>46203</c:v>
                </c:pt>
                <c:pt idx="99">
                  <c:v>46205</c:v>
                </c:pt>
                <c:pt idx="100">
                  <c:v>46206</c:v>
                </c:pt>
                <c:pt idx="101">
                  <c:v>46207</c:v>
                </c:pt>
                <c:pt idx="102">
                  <c:v>46209</c:v>
                </c:pt>
                <c:pt idx="103">
                  <c:v>46210</c:v>
                </c:pt>
                <c:pt idx="104">
                  <c:v>46211</c:v>
                </c:pt>
                <c:pt idx="105">
                  <c:v>46212</c:v>
                </c:pt>
                <c:pt idx="106">
                  <c:v>46213</c:v>
                </c:pt>
                <c:pt idx="107">
                  <c:v>46216</c:v>
                </c:pt>
                <c:pt idx="108">
                  <c:v>46217</c:v>
                </c:pt>
                <c:pt idx="109">
                  <c:v>46219</c:v>
                </c:pt>
                <c:pt idx="110">
                  <c:v>46220</c:v>
                </c:pt>
                <c:pt idx="111">
                  <c:v>46221</c:v>
                </c:pt>
                <c:pt idx="112">
                  <c:v>46223</c:v>
                </c:pt>
                <c:pt idx="113">
                  <c:v>46224</c:v>
                </c:pt>
                <c:pt idx="114">
                  <c:v>46225</c:v>
                </c:pt>
                <c:pt idx="115">
                  <c:v>46226</c:v>
                </c:pt>
                <c:pt idx="116">
                  <c:v>46227</c:v>
                </c:pt>
                <c:pt idx="117">
                  <c:v>46228</c:v>
                </c:pt>
                <c:pt idx="118">
                  <c:v>46229</c:v>
                </c:pt>
                <c:pt idx="119">
                  <c:v>46230</c:v>
                </c:pt>
                <c:pt idx="120">
                  <c:v>46231</c:v>
                </c:pt>
                <c:pt idx="121">
                  <c:v>46232</c:v>
                </c:pt>
                <c:pt idx="122">
                  <c:v>46233</c:v>
                </c:pt>
                <c:pt idx="123">
                  <c:v>46234</c:v>
                </c:pt>
                <c:pt idx="124">
                  <c:v>46237</c:v>
                </c:pt>
                <c:pt idx="125">
                  <c:v>46238</c:v>
                </c:pt>
                <c:pt idx="126">
                  <c:v>46239</c:v>
                </c:pt>
                <c:pt idx="127">
                  <c:v>46240</c:v>
                </c:pt>
                <c:pt idx="128">
                  <c:v>46241</c:v>
                </c:pt>
                <c:pt idx="129">
                  <c:v>46242</c:v>
                </c:pt>
                <c:pt idx="130">
                  <c:v>46244</c:v>
                </c:pt>
                <c:pt idx="131">
                  <c:v>46245</c:v>
                </c:pt>
                <c:pt idx="132">
                  <c:v>46246</c:v>
                </c:pt>
                <c:pt idx="133">
                  <c:v>46247</c:v>
                </c:pt>
                <c:pt idx="134">
                  <c:v>46248</c:v>
                </c:pt>
                <c:pt idx="135">
                  <c:v>46250</c:v>
                </c:pt>
                <c:pt idx="136">
                  <c:v>46251</c:v>
                </c:pt>
                <c:pt idx="137">
                  <c:v>46252</c:v>
                </c:pt>
                <c:pt idx="138">
                  <c:v>46253</c:v>
                </c:pt>
                <c:pt idx="139">
                  <c:v>46254</c:v>
                </c:pt>
                <c:pt idx="140">
                  <c:v>46255</c:v>
                </c:pt>
                <c:pt idx="141">
                  <c:v>46256</c:v>
                </c:pt>
                <c:pt idx="142">
                  <c:v>46258</c:v>
                </c:pt>
                <c:pt idx="143">
                  <c:v>46259</c:v>
                </c:pt>
                <c:pt idx="144">
                  <c:v>46260</c:v>
                </c:pt>
                <c:pt idx="145">
                  <c:v>46261</c:v>
                </c:pt>
                <c:pt idx="146">
                  <c:v>46262</c:v>
                </c:pt>
              </c:numCache>
            </c:numRef>
          </c:cat>
          <c:val>
            <c:numRef>
              <c:f>'Mekanik Montaj'!$F$2:$F$148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3.125495976158163E-2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9.0084932599068315E-2</c:v>
                </c:pt>
                <c:pt idx="8">
                  <c:v>0</c:v>
                </c:pt>
                <c:pt idx="9">
                  <c:v>0</c:v>
                </c:pt>
                <c:pt idx="10">
                  <c:v>7.5512077027608343E-2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3.4770746777206651E-2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0.11263909204093434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5.7770000247778688E-2</c:v>
                </c:pt>
                <c:pt idx="33">
                  <c:v>4.9528115849870963E-2</c:v>
                </c:pt>
                <c:pt idx="34">
                  <c:v>1.0795360123713682E-2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5.6355509012645577E-2</c:v>
                </c:pt>
                <c:pt idx="47">
                  <c:v>7.1043680466927328E-3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3.1042663148730665E-3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2.4361959669344513E-4</c:v>
                </c:pt>
                <c:pt idx="67">
                  <c:v>0</c:v>
                </c:pt>
                <c:pt idx="68">
                  <c:v>2.4026762956597614E-2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2.223394922608668E-2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1.9395674497876714E-2</c:v>
                </c:pt>
                <c:pt idx="85">
                  <c:v>6.1961305133340888E-2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5.8074235129466356E-3</c:v>
                </c:pt>
                <c:pt idx="93">
                  <c:v>0</c:v>
                </c:pt>
                <c:pt idx="94">
                  <c:v>2.0362611280684617E-2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7.8759092983403944E-2</c:v>
                </c:pt>
                <c:pt idx="102">
                  <c:v>0</c:v>
                </c:pt>
                <c:pt idx="103">
                  <c:v>0</c:v>
                </c:pt>
                <c:pt idx="104">
                  <c:v>1.1963735959787503E-2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6.8641818117726211E-2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6.7674068458277531E-2</c:v>
                </c:pt>
                <c:pt idx="127">
                  <c:v>2.4895412803013245E-2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6.9345750869226674E-2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1.8406844292956692E-2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7.6232302802693871E-2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6.5630804007786939E-2</c:v>
                </c:pt>
                <c:pt idx="146">
                  <c:v>8.3670309844036672E-3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16-4998-9215-0D5999D1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7709231"/>
        <c:axId val="620184335"/>
      </c:lineChart>
      <c:catAx>
        <c:axId val="148770923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20184335"/>
        <c:crosses val="autoZero"/>
        <c:auto val="0"/>
        <c:lblAlgn val="ctr"/>
        <c:lblOffset val="100"/>
        <c:noMultiLvlLbl val="0"/>
      </c:catAx>
      <c:valAx>
        <c:axId val="62018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48770923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Mechanical Dyson </a:t>
            </a:r>
            <a:r>
              <a:rPr lang="tr-TR" baseline="0"/>
              <a:t>P-Chart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'Mekanik Dyson Hatası'!$D$1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'Mekanik Dyson Hatası'!$A$2:$A$152</c:f>
              <c:strCache>
                <c:ptCount val="151"/>
                <c:pt idx="0">
                  <c:v>7.01.2026</c:v>
                </c:pt>
                <c:pt idx="1">
                  <c:v>8.01.2026</c:v>
                </c:pt>
                <c:pt idx="2">
                  <c:v>9.01.2026</c:v>
                </c:pt>
                <c:pt idx="3">
                  <c:v>12.01.2026</c:v>
                </c:pt>
                <c:pt idx="4">
                  <c:v>13.01.2026</c:v>
                </c:pt>
                <c:pt idx="5">
                  <c:v>15.01.2026</c:v>
                </c:pt>
                <c:pt idx="6">
                  <c:v>16.01.2026</c:v>
                </c:pt>
                <c:pt idx="7">
                  <c:v>19.01.2026</c:v>
                </c:pt>
                <c:pt idx="8">
                  <c:v>21.01.2026</c:v>
                </c:pt>
                <c:pt idx="9">
                  <c:v>23.01.2026</c:v>
                </c:pt>
                <c:pt idx="10">
                  <c:v>26.01.2026</c:v>
                </c:pt>
                <c:pt idx="11">
                  <c:v>28.01.2026</c:v>
                </c:pt>
                <c:pt idx="12">
                  <c:v>30.01.2026</c:v>
                </c:pt>
                <c:pt idx="13">
                  <c:v>2.02.2026</c:v>
                </c:pt>
                <c:pt idx="14">
                  <c:v>3.02.2026</c:v>
                </c:pt>
                <c:pt idx="15">
                  <c:v>4.02.2026</c:v>
                </c:pt>
                <c:pt idx="16">
                  <c:v>5.02.2026</c:v>
                </c:pt>
                <c:pt idx="17">
                  <c:v>6.02.2026</c:v>
                </c:pt>
                <c:pt idx="18">
                  <c:v>9.02.2026</c:v>
                </c:pt>
                <c:pt idx="19">
                  <c:v>10.02.2026</c:v>
                </c:pt>
                <c:pt idx="20">
                  <c:v>11.02.2026</c:v>
                </c:pt>
                <c:pt idx="21">
                  <c:v>12.02.2026</c:v>
                </c:pt>
                <c:pt idx="22">
                  <c:v>13.02.2026</c:v>
                </c:pt>
                <c:pt idx="23">
                  <c:v>16.02.2026</c:v>
                </c:pt>
                <c:pt idx="24">
                  <c:v>17.02.2026</c:v>
                </c:pt>
                <c:pt idx="25">
                  <c:v>18.02.2026</c:v>
                </c:pt>
                <c:pt idx="26">
                  <c:v>19.02.2026</c:v>
                </c:pt>
                <c:pt idx="27">
                  <c:v>23.02.2026</c:v>
                </c:pt>
                <c:pt idx="28">
                  <c:v>24.02.2026</c:v>
                </c:pt>
                <c:pt idx="29">
                  <c:v>25.02.2026</c:v>
                </c:pt>
                <c:pt idx="30">
                  <c:v>26.02.2026</c:v>
                </c:pt>
                <c:pt idx="31">
                  <c:v>28.02.2026</c:v>
                </c:pt>
                <c:pt idx="32">
                  <c:v>2.03.2026</c:v>
                </c:pt>
                <c:pt idx="33">
                  <c:v>3.03.2026</c:v>
                </c:pt>
                <c:pt idx="34">
                  <c:v>5.03.2026</c:v>
                </c:pt>
                <c:pt idx="35">
                  <c:v>6.03.2026</c:v>
                </c:pt>
                <c:pt idx="36">
                  <c:v>9.03.2026</c:v>
                </c:pt>
                <c:pt idx="37">
                  <c:v>10.03.2026</c:v>
                </c:pt>
                <c:pt idx="38">
                  <c:v>11.03.2026</c:v>
                </c:pt>
                <c:pt idx="39">
                  <c:v>12.03.2026</c:v>
                </c:pt>
                <c:pt idx="40">
                  <c:v>13.03.2026</c:v>
                </c:pt>
                <c:pt idx="41">
                  <c:v>15.03.2026</c:v>
                </c:pt>
                <c:pt idx="42">
                  <c:v>16.03.2026</c:v>
                </c:pt>
                <c:pt idx="43">
                  <c:v>17.03.2026</c:v>
                </c:pt>
                <c:pt idx="44">
                  <c:v>18.03.2026</c:v>
                </c:pt>
                <c:pt idx="45">
                  <c:v>20.03.2026</c:v>
                </c:pt>
                <c:pt idx="46">
                  <c:v>23.03.2026</c:v>
                </c:pt>
                <c:pt idx="47">
                  <c:v>24.03.2026</c:v>
                </c:pt>
                <c:pt idx="48">
                  <c:v>25.03.2026</c:v>
                </c:pt>
                <c:pt idx="49">
                  <c:v>26.03.2026</c:v>
                </c:pt>
                <c:pt idx="50">
                  <c:v>27.03.2026</c:v>
                </c:pt>
                <c:pt idx="51">
                  <c:v>30.03.2026</c:v>
                </c:pt>
                <c:pt idx="52">
                  <c:v>31.03.2026</c:v>
                </c:pt>
                <c:pt idx="53">
                  <c:v>1.04.2026</c:v>
                </c:pt>
                <c:pt idx="54">
                  <c:v>3.04.2026</c:v>
                </c:pt>
                <c:pt idx="55">
                  <c:v>6.04.2026</c:v>
                </c:pt>
                <c:pt idx="56">
                  <c:v>7.04.2026</c:v>
                </c:pt>
                <c:pt idx="57">
                  <c:v>8.04.2026</c:v>
                </c:pt>
                <c:pt idx="58">
                  <c:v>9.04.2026</c:v>
                </c:pt>
                <c:pt idx="59">
                  <c:v>10.04.2026</c:v>
                </c:pt>
                <c:pt idx="60">
                  <c:v>13.04.2026</c:v>
                </c:pt>
                <c:pt idx="61">
                  <c:v>14.04.2026</c:v>
                </c:pt>
                <c:pt idx="62">
                  <c:v>15.04.2026</c:v>
                </c:pt>
                <c:pt idx="63">
                  <c:v>16.04.2026</c:v>
                </c:pt>
                <c:pt idx="64">
                  <c:v>20.04.2026</c:v>
                </c:pt>
                <c:pt idx="65">
                  <c:v>21.04.2026</c:v>
                </c:pt>
                <c:pt idx="66">
                  <c:v>22.04.2026</c:v>
                </c:pt>
                <c:pt idx="67">
                  <c:v>24.04.2026</c:v>
                </c:pt>
                <c:pt idx="68">
                  <c:v>27.04.2026</c:v>
                </c:pt>
                <c:pt idx="69">
                  <c:v>28.04.2026</c:v>
                </c:pt>
                <c:pt idx="70">
                  <c:v>29.04.2026</c:v>
                </c:pt>
                <c:pt idx="71">
                  <c:v>30.04.2026</c:v>
                </c:pt>
                <c:pt idx="72">
                  <c:v>5.05.2026</c:v>
                </c:pt>
                <c:pt idx="73">
                  <c:v>6.05.2026</c:v>
                </c:pt>
                <c:pt idx="74">
                  <c:v>7.05.2026</c:v>
                </c:pt>
                <c:pt idx="75">
                  <c:v>8.05.2026</c:v>
                </c:pt>
                <c:pt idx="76">
                  <c:v>11.05.2026</c:v>
                </c:pt>
                <c:pt idx="77">
                  <c:v>13.05.2026</c:v>
                </c:pt>
                <c:pt idx="78">
                  <c:v>14.05.2026</c:v>
                </c:pt>
                <c:pt idx="79">
                  <c:v>18.05.2026</c:v>
                </c:pt>
                <c:pt idx="80">
                  <c:v>21.05.2026</c:v>
                </c:pt>
                <c:pt idx="81">
                  <c:v>1.06.2026</c:v>
                </c:pt>
                <c:pt idx="82">
                  <c:v>3.06.2026</c:v>
                </c:pt>
                <c:pt idx="83">
                  <c:v>4.06.2026</c:v>
                </c:pt>
                <c:pt idx="84">
                  <c:v>5.06.2026</c:v>
                </c:pt>
                <c:pt idx="85">
                  <c:v>8.06.2026</c:v>
                </c:pt>
                <c:pt idx="86">
                  <c:v>9.06.2026</c:v>
                </c:pt>
                <c:pt idx="87">
                  <c:v>10.06.2026</c:v>
                </c:pt>
                <c:pt idx="88">
                  <c:v>11.06.2026</c:v>
                </c:pt>
                <c:pt idx="89">
                  <c:v>12.06.2026</c:v>
                </c:pt>
                <c:pt idx="90">
                  <c:v>13.06.2026</c:v>
                </c:pt>
                <c:pt idx="91">
                  <c:v>15.06.2026</c:v>
                </c:pt>
                <c:pt idx="92">
                  <c:v>16.06.2026</c:v>
                </c:pt>
                <c:pt idx="93">
                  <c:v>17.06.2026</c:v>
                </c:pt>
                <c:pt idx="94">
                  <c:v>18.06.2026</c:v>
                </c:pt>
                <c:pt idx="95">
                  <c:v>19.06.2026</c:v>
                </c:pt>
                <c:pt idx="96">
                  <c:v>22.06.2026</c:v>
                </c:pt>
                <c:pt idx="97">
                  <c:v>23.06.2026</c:v>
                </c:pt>
                <c:pt idx="98">
                  <c:v>24.06.2026</c:v>
                </c:pt>
                <c:pt idx="99">
                  <c:v>25.06.2026</c:v>
                </c:pt>
                <c:pt idx="100">
                  <c:v>26.06.2026</c:v>
                </c:pt>
                <c:pt idx="101">
                  <c:v>30.06.2026</c:v>
                </c:pt>
                <c:pt idx="102">
                  <c:v>2.07.2026</c:v>
                </c:pt>
                <c:pt idx="103">
                  <c:v>3.07.2026</c:v>
                </c:pt>
                <c:pt idx="104">
                  <c:v>4.07.2026</c:v>
                </c:pt>
                <c:pt idx="105">
                  <c:v>6.07.2026</c:v>
                </c:pt>
                <c:pt idx="106">
                  <c:v>7.07.2026</c:v>
                </c:pt>
                <c:pt idx="107">
                  <c:v>8.07.2026</c:v>
                </c:pt>
                <c:pt idx="108">
                  <c:v>9.07.2026</c:v>
                </c:pt>
                <c:pt idx="109">
                  <c:v>10.07.2026</c:v>
                </c:pt>
                <c:pt idx="110">
                  <c:v>13.07.2026</c:v>
                </c:pt>
                <c:pt idx="111">
                  <c:v>14.07.2026</c:v>
                </c:pt>
                <c:pt idx="112">
                  <c:v>16.07.2026</c:v>
                </c:pt>
                <c:pt idx="113">
                  <c:v>17.07.2026</c:v>
                </c:pt>
                <c:pt idx="114">
                  <c:v>18.07.2026</c:v>
                </c:pt>
                <c:pt idx="115">
                  <c:v>20.07.2026</c:v>
                </c:pt>
                <c:pt idx="116">
                  <c:v>21.07.2026</c:v>
                </c:pt>
                <c:pt idx="117">
                  <c:v>22.07.2026</c:v>
                </c:pt>
                <c:pt idx="118">
                  <c:v>23.07.2026</c:v>
                </c:pt>
                <c:pt idx="119">
                  <c:v>24.07.2026</c:v>
                </c:pt>
                <c:pt idx="120">
                  <c:v>25.07.2026</c:v>
                </c:pt>
                <c:pt idx="121">
                  <c:v>26.07.2026</c:v>
                </c:pt>
                <c:pt idx="122">
                  <c:v>27.07.2026</c:v>
                </c:pt>
                <c:pt idx="123">
                  <c:v>28.07.2026</c:v>
                </c:pt>
                <c:pt idx="124">
                  <c:v>29.07.2026</c:v>
                </c:pt>
                <c:pt idx="125">
                  <c:v>30.07.2026</c:v>
                </c:pt>
                <c:pt idx="126">
                  <c:v>31.07.2026</c:v>
                </c:pt>
                <c:pt idx="127">
                  <c:v>3.08.2026</c:v>
                </c:pt>
                <c:pt idx="128">
                  <c:v>4.08.2026</c:v>
                </c:pt>
                <c:pt idx="129">
                  <c:v>5.08.2026</c:v>
                </c:pt>
                <c:pt idx="130">
                  <c:v>6.08.2026</c:v>
                </c:pt>
                <c:pt idx="131">
                  <c:v>7.08.2026</c:v>
                </c:pt>
                <c:pt idx="132">
                  <c:v>8.08.2026</c:v>
                </c:pt>
                <c:pt idx="133">
                  <c:v>10.08.2026</c:v>
                </c:pt>
                <c:pt idx="134">
                  <c:v>11.08.2026</c:v>
                </c:pt>
                <c:pt idx="135">
                  <c:v>12.08.2026</c:v>
                </c:pt>
                <c:pt idx="136">
                  <c:v>13.08.2026</c:v>
                </c:pt>
                <c:pt idx="137">
                  <c:v>14.08.2026</c:v>
                </c:pt>
                <c:pt idx="138">
                  <c:v>16.08.2026</c:v>
                </c:pt>
                <c:pt idx="139">
                  <c:v>17.08.2026</c:v>
                </c:pt>
                <c:pt idx="140">
                  <c:v>18.08.2026</c:v>
                </c:pt>
                <c:pt idx="141">
                  <c:v>19.08.2026</c:v>
                </c:pt>
                <c:pt idx="142">
                  <c:v>20.08.2026</c:v>
                </c:pt>
                <c:pt idx="143">
                  <c:v>21.08.2026</c:v>
                </c:pt>
                <c:pt idx="144">
                  <c:v>22.08.2026</c:v>
                </c:pt>
                <c:pt idx="145">
                  <c:v>24.08.2026</c:v>
                </c:pt>
                <c:pt idx="146">
                  <c:v>25.08.2026</c:v>
                </c:pt>
                <c:pt idx="147">
                  <c:v>26.08.2026</c:v>
                </c:pt>
                <c:pt idx="148">
                  <c:v>27.08.2026</c:v>
                </c:pt>
                <c:pt idx="149">
                  <c:v>28.08.2026</c:v>
                </c:pt>
                <c:pt idx="150">
                  <c:v>Genel Toplam</c:v>
                </c:pt>
              </c:strCache>
            </c:strRef>
          </c:cat>
          <c:val>
            <c:numRef>
              <c:f>'Mekanik Dyson Hatası'!$D$2:$D$152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0.36666666666666664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0.1111111111111111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0.66666666666666663</c:v>
                </c:pt>
                <c:pt idx="28">
                  <c:v>0</c:v>
                </c:pt>
                <c:pt idx="29">
                  <c:v>0.6310679611650486</c:v>
                </c:pt>
                <c:pt idx="30">
                  <c:v>0.58823529411764708</c:v>
                </c:pt>
                <c:pt idx="31">
                  <c:v>0</c:v>
                </c:pt>
                <c:pt idx="32">
                  <c:v>0</c:v>
                </c:pt>
                <c:pt idx="33">
                  <c:v>1.7167381974248927E-2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0.50980392156862742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0.6</c:v>
                </c:pt>
                <c:pt idx="47">
                  <c:v>0.33333333333333331</c:v>
                </c:pt>
                <c:pt idx="48">
                  <c:v>0.35833333333333334</c:v>
                </c:pt>
                <c:pt idx="49">
                  <c:v>0</c:v>
                </c:pt>
                <c:pt idx="50">
                  <c:v>0.32558139534883723</c:v>
                </c:pt>
                <c:pt idx="51">
                  <c:v>0</c:v>
                </c:pt>
                <c:pt idx="52">
                  <c:v>0.46666666666666667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0.77142857142857146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0.13333333333333333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0.24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0.33333333333333331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0.20833333333333334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0.17816091954022989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9.7087378640776698E-2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8.5677981484842985E-2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8A-4273-B9F7-D04A54DAC4BC}"/>
            </c:ext>
          </c:extLst>
        </c:ser>
        <c:ser>
          <c:idx val="1"/>
          <c:order val="1"/>
          <c:tx>
            <c:strRef>
              <c:f>'Mekanik Dyson Hatası'!$E$1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'Mekanik Dyson Hatası'!$A$2:$A$152</c:f>
              <c:strCache>
                <c:ptCount val="151"/>
                <c:pt idx="0">
                  <c:v>7.01.2026</c:v>
                </c:pt>
                <c:pt idx="1">
                  <c:v>8.01.2026</c:v>
                </c:pt>
                <c:pt idx="2">
                  <c:v>9.01.2026</c:v>
                </c:pt>
                <c:pt idx="3">
                  <c:v>12.01.2026</c:v>
                </c:pt>
                <c:pt idx="4">
                  <c:v>13.01.2026</c:v>
                </c:pt>
                <c:pt idx="5">
                  <c:v>15.01.2026</c:v>
                </c:pt>
                <c:pt idx="6">
                  <c:v>16.01.2026</c:v>
                </c:pt>
                <c:pt idx="7">
                  <c:v>19.01.2026</c:v>
                </c:pt>
                <c:pt idx="8">
                  <c:v>21.01.2026</c:v>
                </c:pt>
                <c:pt idx="9">
                  <c:v>23.01.2026</c:v>
                </c:pt>
                <c:pt idx="10">
                  <c:v>26.01.2026</c:v>
                </c:pt>
                <c:pt idx="11">
                  <c:v>28.01.2026</c:v>
                </c:pt>
                <c:pt idx="12">
                  <c:v>30.01.2026</c:v>
                </c:pt>
                <c:pt idx="13">
                  <c:v>2.02.2026</c:v>
                </c:pt>
                <c:pt idx="14">
                  <c:v>3.02.2026</c:v>
                </c:pt>
                <c:pt idx="15">
                  <c:v>4.02.2026</c:v>
                </c:pt>
                <c:pt idx="16">
                  <c:v>5.02.2026</c:v>
                </c:pt>
                <c:pt idx="17">
                  <c:v>6.02.2026</c:v>
                </c:pt>
                <c:pt idx="18">
                  <c:v>9.02.2026</c:v>
                </c:pt>
                <c:pt idx="19">
                  <c:v>10.02.2026</c:v>
                </c:pt>
                <c:pt idx="20">
                  <c:v>11.02.2026</c:v>
                </c:pt>
                <c:pt idx="21">
                  <c:v>12.02.2026</c:v>
                </c:pt>
                <c:pt idx="22">
                  <c:v>13.02.2026</c:v>
                </c:pt>
                <c:pt idx="23">
                  <c:v>16.02.2026</c:v>
                </c:pt>
                <c:pt idx="24">
                  <c:v>17.02.2026</c:v>
                </c:pt>
                <c:pt idx="25">
                  <c:v>18.02.2026</c:v>
                </c:pt>
                <c:pt idx="26">
                  <c:v>19.02.2026</c:v>
                </c:pt>
                <c:pt idx="27">
                  <c:v>23.02.2026</c:v>
                </c:pt>
                <c:pt idx="28">
                  <c:v>24.02.2026</c:v>
                </c:pt>
                <c:pt idx="29">
                  <c:v>25.02.2026</c:v>
                </c:pt>
                <c:pt idx="30">
                  <c:v>26.02.2026</c:v>
                </c:pt>
                <c:pt idx="31">
                  <c:v>28.02.2026</c:v>
                </c:pt>
                <c:pt idx="32">
                  <c:v>2.03.2026</c:v>
                </c:pt>
                <c:pt idx="33">
                  <c:v>3.03.2026</c:v>
                </c:pt>
                <c:pt idx="34">
                  <c:v>5.03.2026</c:v>
                </c:pt>
                <c:pt idx="35">
                  <c:v>6.03.2026</c:v>
                </c:pt>
                <c:pt idx="36">
                  <c:v>9.03.2026</c:v>
                </c:pt>
                <c:pt idx="37">
                  <c:v>10.03.2026</c:v>
                </c:pt>
                <c:pt idx="38">
                  <c:v>11.03.2026</c:v>
                </c:pt>
                <c:pt idx="39">
                  <c:v>12.03.2026</c:v>
                </c:pt>
                <c:pt idx="40">
                  <c:v>13.03.2026</c:v>
                </c:pt>
                <c:pt idx="41">
                  <c:v>15.03.2026</c:v>
                </c:pt>
                <c:pt idx="42">
                  <c:v>16.03.2026</c:v>
                </c:pt>
                <c:pt idx="43">
                  <c:v>17.03.2026</c:v>
                </c:pt>
                <c:pt idx="44">
                  <c:v>18.03.2026</c:v>
                </c:pt>
                <c:pt idx="45">
                  <c:v>20.03.2026</c:v>
                </c:pt>
                <c:pt idx="46">
                  <c:v>23.03.2026</c:v>
                </c:pt>
                <c:pt idx="47">
                  <c:v>24.03.2026</c:v>
                </c:pt>
                <c:pt idx="48">
                  <c:v>25.03.2026</c:v>
                </c:pt>
                <c:pt idx="49">
                  <c:v>26.03.2026</c:v>
                </c:pt>
                <c:pt idx="50">
                  <c:v>27.03.2026</c:v>
                </c:pt>
                <c:pt idx="51">
                  <c:v>30.03.2026</c:v>
                </c:pt>
                <c:pt idx="52">
                  <c:v>31.03.2026</c:v>
                </c:pt>
                <c:pt idx="53">
                  <c:v>1.04.2026</c:v>
                </c:pt>
                <c:pt idx="54">
                  <c:v>3.04.2026</c:v>
                </c:pt>
                <c:pt idx="55">
                  <c:v>6.04.2026</c:v>
                </c:pt>
                <c:pt idx="56">
                  <c:v>7.04.2026</c:v>
                </c:pt>
                <c:pt idx="57">
                  <c:v>8.04.2026</c:v>
                </c:pt>
                <c:pt idx="58">
                  <c:v>9.04.2026</c:v>
                </c:pt>
                <c:pt idx="59">
                  <c:v>10.04.2026</c:v>
                </c:pt>
                <c:pt idx="60">
                  <c:v>13.04.2026</c:v>
                </c:pt>
                <c:pt idx="61">
                  <c:v>14.04.2026</c:v>
                </c:pt>
                <c:pt idx="62">
                  <c:v>15.04.2026</c:v>
                </c:pt>
                <c:pt idx="63">
                  <c:v>16.04.2026</c:v>
                </c:pt>
                <c:pt idx="64">
                  <c:v>20.04.2026</c:v>
                </c:pt>
                <c:pt idx="65">
                  <c:v>21.04.2026</c:v>
                </c:pt>
                <c:pt idx="66">
                  <c:v>22.04.2026</c:v>
                </c:pt>
                <c:pt idx="67">
                  <c:v>24.04.2026</c:v>
                </c:pt>
                <c:pt idx="68">
                  <c:v>27.04.2026</c:v>
                </c:pt>
                <c:pt idx="69">
                  <c:v>28.04.2026</c:v>
                </c:pt>
                <c:pt idx="70">
                  <c:v>29.04.2026</c:v>
                </c:pt>
                <c:pt idx="71">
                  <c:v>30.04.2026</c:v>
                </c:pt>
                <c:pt idx="72">
                  <c:v>5.05.2026</c:v>
                </c:pt>
                <c:pt idx="73">
                  <c:v>6.05.2026</c:v>
                </c:pt>
                <c:pt idx="74">
                  <c:v>7.05.2026</c:v>
                </c:pt>
                <c:pt idx="75">
                  <c:v>8.05.2026</c:v>
                </c:pt>
                <c:pt idx="76">
                  <c:v>11.05.2026</c:v>
                </c:pt>
                <c:pt idx="77">
                  <c:v>13.05.2026</c:v>
                </c:pt>
                <c:pt idx="78">
                  <c:v>14.05.2026</c:v>
                </c:pt>
                <c:pt idx="79">
                  <c:v>18.05.2026</c:v>
                </c:pt>
                <c:pt idx="80">
                  <c:v>21.05.2026</c:v>
                </c:pt>
                <c:pt idx="81">
                  <c:v>1.06.2026</c:v>
                </c:pt>
                <c:pt idx="82">
                  <c:v>3.06.2026</c:v>
                </c:pt>
                <c:pt idx="83">
                  <c:v>4.06.2026</c:v>
                </c:pt>
                <c:pt idx="84">
                  <c:v>5.06.2026</c:v>
                </c:pt>
                <c:pt idx="85">
                  <c:v>8.06.2026</c:v>
                </c:pt>
                <c:pt idx="86">
                  <c:v>9.06.2026</c:v>
                </c:pt>
                <c:pt idx="87">
                  <c:v>10.06.2026</c:v>
                </c:pt>
                <c:pt idx="88">
                  <c:v>11.06.2026</c:v>
                </c:pt>
                <c:pt idx="89">
                  <c:v>12.06.2026</c:v>
                </c:pt>
                <c:pt idx="90">
                  <c:v>13.06.2026</c:v>
                </c:pt>
                <c:pt idx="91">
                  <c:v>15.06.2026</c:v>
                </c:pt>
                <c:pt idx="92">
                  <c:v>16.06.2026</c:v>
                </c:pt>
                <c:pt idx="93">
                  <c:v>17.06.2026</c:v>
                </c:pt>
                <c:pt idx="94">
                  <c:v>18.06.2026</c:v>
                </c:pt>
                <c:pt idx="95">
                  <c:v>19.06.2026</c:v>
                </c:pt>
                <c:pt idx="96">
                  <c:v>22.06.2026</c:v>
                </c:pt>
                <c:pt idx="97">
                  <c:v>23.06.2026</c:v>
                </c:pt>
                <c:pt idx="98">
                  <c:v>24.06.2026</c:v>
                </c:pt>
                <c:pt idx="99">
                  <c:v>25.06.2026</c:v>
                </c:pt>
                <c:pt idx="100">
                  <c:v>26.06.2026</c:v>
                </c:pt>
                <c:pt idx="101">
                  <c:v>30.06.2026</c:v>
                </c:pt>
                <c:pt idx="102">
                  <c:v>2.07.2026</c:v>
                </c:pt>
                <c:pt idx="103">
                  <c:v>3.07.2026</c:v>
                </c:pt>
                <c:pt idx="104">
                  <c:v>4.07.2026</c:v>
                </c:pt>
                <c:pt idx="105">
                  <c:v>6.07.2026</c:v>
                </c:pt>
                <c:pt idx="106">
                  <c:v>7.07.2026</c:v>
                </c:pt>
                <c:pt idx="107">
                  <c:v>8.07.2026</c:v>
                </c:pt>
                <c:pt idx="108">
                  <c:v>9.07.2026</c:v>
                </c:pt>
                <c:pt idx="109">
                  <c:v>10.07.2026</c:v>
                </c:pt>
                <c:pt idx="110">
                  <c:v>13.07.2026</c:v>
                </c:pt>
                <c:pt idx="111">
                  <c:v>14.07.2026</c:v>
                </c:pt>
                <c:pt idx="112">
                  <c:v>16.07.2026</c:v>
                </c:pt>
                <c:pt idx="113">
                  <c:v>17.07.2026</c:v>
                </c:pt>
                <c:pt idx="114">
                  <c:v>18.07.2026</c:v>
                </c:pt>
                <c:pt idx="115">
                  <c:v>20.07.2026</c:v>
                </c:pt>
                <c:pt idx="116">
                  <c:v>21.07.2026</c:v>
                </c:pt>
                <c:pt idx="117">
                  <c:v>22.07.2026</c:v>
                </c:pt>
                <c:pt idx="118">
                  <c:v>23.07.2026</c:v>
                </c:pt>
                <c:pt idx="119">
                  <c:v>24.07.2026</c:v>
                </c:pt>
                <c:pt idx="120">
                  <c:v>25.07.2026</c:v>
                </c:pt>
                <c:pt idx="121">
                  <c:v>26.07.2026</c:v>
                </c:pt>
                <c:pt idx="122">
                  <c:v>27.07.2026</c:v>
                </c:pt>
                <c:pt idx="123">
                  <c:v>28.07.2026</c:v>
                </c:pt>
                <c:pt idx="124">
                  <c:v>29.07.2026</c:v>
                </c:pt>
                <c:pt idx="125">
                  <c:v>30.07.2026</c:v>
                </c:pt>
                <c:pt idx="126">
                  <c:v>31.07.2026</c:v>
                </c:pt>
                <c:pt idx="127">
                  <c:v>3.08.2026</c:v>
                </c:pt>
                <c:pt idx="128">
                  <c:v>4.08.2026</c:v>
                </c:pt>
                <c:pt idx="129">
                  <c:v>5.08.2026</c:v>
                </c:pt>
                <c:pt idx="130">
                  <c:v>6.08.2026</c:v>
                </c:pt>
                <c:pt idx="131">
                  <c:v>7.08.2026</c:v>
                </c:pt>
                <c:pt idx="132">
                  <c:v>8.08.2026</c:v>
                </c:pt>
                <c:pt idx="133">
                  <c:v>10.08.2026</c:v>
                </c:pt>
                <c:pt idx="134">
                  <c:v>11.08.2026</c:v>
                </c:pt>
                <c:pt idx="135">
                  <c:v>12.08.2026</c:v>
                </c:pt>
                <c:pt idx="136">
                  <c:v>13.08.2026</c:v>
                </c:pt>
                <c:pt idx="137">
                  <c:v>14.08.2026</c:v>
                </c:pt>
                <c:pt idx="138">
                  <c:v>16.08.2026</c:v>
                </c:pt>
                <c:pt idx="139">
                  <c:v>17.08.2026</c:v>
                </c:pt>
                <c:pt idx="140">
                  <c:v>18.08.2026</c:v>
                </c:pt>
                <c:pt idx="141">
                  <c:v>19.08.2026</c:v>
                </c:pt>
                <c:pt idx="142">
                  <c:v>20.08.2026</c:v>
                </c:pt>
                <c:pt idx="143">
                  <c:v>21.08.2026</c:v>
                </c:pt>
                <c:pt idx="144">
                  <c:v>22.08.2026</c:v>
                </c:pt>
                <c:pt idx="145">
                  <c:v>24.08.2026</c:v>
                </c:pt>
                <c:pt idx="146">
                  <c:v>25.08.2026</c:v>
                </c:pt>
                <c:pt idx="147">
                  <c:v>26.08.2026</c:v>
                </c:pt>
                <c:pt idx="148">
                  <c:v>27.08.2026</c:v>
                </c:pt>
                <c:pt idx="149">
                  <c:v>28.08.2026</c:v>
                </c:pt>
                <c:pt idx="150">
                  <c:v>Genel Toplam</c:v>
                </c:pt>
              </c:strCache>
            </c:strRef>
          </c:cat>
          <c:val>
            <c:numRef>
              <c:f>'Mekanik Dyson Hatası'!$E$2:$E$152</c:f>
              <c:numCache>
                <c:formatCode>General</c:formatCode>
                <c:ptCount val="151"/>
                <c:pt idx="0">
                  <c:v>0.67940998532232055</c:v>
                </c:pt>
                <c:pt idx="1">
                  <c:v>0.22967914413964008</c:v>
                </c:pt>
                <c:pt idx="2">
                  <c:v>0.92534183372675827</c:v>
                </c:pt>
                <c:pt idx="3">
                  <c:v>0.23897892568303691</c:v>
                </c:pt>
                <c:pt idx="4">
                  <c:v>0.17897396506727803</c:v>
                </c:pt>
                <c:pt idx="5">
                  <c:v>0.42846931372690655</c:v>
                </c:pt>
                <c:pt idx="6">
                  <c:v>0.67940998532232055</c:v>
                </c:pt>
                <c:pt idx="7">
                  <c:v>0.32806805704517694</c:v>
                </c:pt>
                <c:pt idx="8">
                  <c:v>0.13291276353495876</c:v>
                </c:pt>
                <c:pt idx="9">
                  <c:v>0.36556593223214806</c:v>
                </c:pt>
                <c:pt idx="10">
                  <c:v>0.67940998532232055</c:v>
                </c:pt>
                <c:pt idx="11">
                  <c:v>0.14432264875167741</c:v>
                </c:pt>
                <c:pt idx="12">
                  <c:v>0.42846931372690655</c:v>
                </c:pt>
                <c:pt idx="13">
                  <c:v>0.67940998532232055</c:v>
                </c:pt>
                <c:pt idx="14">
                  <c:v>0.92534183372675827</c:v>
                </c:pt>
                <c:pt idx="15">
                  <c:v>0.40304108690235607</c:v>
                </c:pt>
                <c:pt idx="16">
                  <c:v>0.42846931372690655</c:v>
                </c:pt>
                <c:pt idx="17">
                  <c:v>0.40304108690235607</c:v>
                </c:pt>
                <c:pt idx="18">
                  <c:v>0.25361075193322602</c:v>
                </c:pt>
                <c:pt idx="19">
                  <c:v>0.50550990760580061</c:v>
                </c:pt>
                <c:pt idx="20">
                  <c:v>0.67940998532232055</c:v>
                </c:pt>
                <c:pt idx="21">
                  <c:v>0.17622126323077086</c:v>
                </c:pt>
                <c:pt idx="22">
                  <c:v>0.29559394454532184</c:v>
                </c:pt>
                <c:pt idx="23">
                  <c:v>0.40304108690235607</c:v>
                </c:pt>
                <c:pt idx="24">
                  <c:v>0.33884615856764755</c:v>
                </c:pt>
                <c:pt idx="25">
                  <c:v>0.42846931372690655</c:v>
                </c:pt>
                <c:pt idx="26">
                  <c:v>0.38254398340358176</c:v>
                </c:pt>
                <c:pt idx="27">
                  <c:v>0.21524092672784548</c:v>
                </c:pt>
                <c:pt idx="28">
                  <c:v>0.46118707185729535</c:v>
                </c:pt>
                <c:pt idx="29">
                  <c:v>0.1684125192278606</c:v>
                </c:pt>
                <c:pt idx="30">
                  <c:v>0.16881709150720917</c:v>
                </c:pt>
                <c:pt idx="31">
                  <c:v>0.24435953419359954</c:v>
                </c:pt>
                <c:pt idx="32">
                  <c:v>0.67940998532232055</c:v>
                </c:pt>
                <c:pt idx="33">
                  <c:v>0.14068618940776625</c:v>
                </c:pt>
                <c:pt idx="34">
                  <c:v>0.46118707185729535</c:v>
                </c:pt>
                <c:pt idx="35">
                  <c:v>0.67940998532232055</c:v>
                </c:pt>
                <c:pt idx="36">
                  <c:v>0.67940998532232055</c:v>
                </c:pt>
                <c:pt idx="37">
                  <c:v>0.16881709150720917</c:v>
                </c:pt>
                <c:pt idx="38">
                  <c:v>0.36556593223214806</c:v>
                </c:pt>
                <c:pt idx="39">
                  <c:v>0.26075999763997215</c:v>
                </c:pt>
                <c:pt idx="40">
                  <c:v>0.92534183372675827</c:v>
                </c:pt>
                <c:pt idx="41">
                  <c:v>0.92534183372675827</c:v>
                </c:pt>
                <c:pt idx="42">
                  <c:v>0.23184469667384702</c:v>
                </c:pt>
                <c:pt idx="43">
                  <c:v>0.28932637870875111</c:v>
                </c:pt>
                <c:pt idx="44">
                  <c:v>0.23897892568303691</c:v>
                </c:pt>
                <c:pt idx="45">
                  <c:v>0.92534183372675827</c:v>
                </c:pt>
                <c:pt idx="46">
                  <c:v>0.2044243822523385</c:v>
                </c:pt>
                <c:pt idx="47">
                  <c:v>0.15104572372693581</c:v>
                </c:pt>
                <c:pt idx="48">
                  <c:v>0.16232845358393994</c:v>
                </c:pt>
                <c:pt idx="49">
                  <c:v>0.92534183372675827</c:v>
                </c:pt>
                <c:pt idx="50">
                  <c:v>0.21372551851170249</c:v>
                </c:pt>
                <c:pt idx="51">
                  <c:v>0.67940998532232055</c:v>
                </c:pt>
                <c:pt idx="52">
                  <c:v>0.30247825589452981</c:v>
                </c:pt>
                <c:pt idx="53">
                  <c:v>0.67940998532232055</c:v>
                </c:pt>
                <c:pt idx="54">
                  <c:v>0.38254398340358176</c:v>
                </c:pt>
                <c:pt idx="55">
                  <c:v>0.67940998532232055</c:v>
                </c:pt>
                <c:pt idx="56">
                  <c:v>0.31008758542398762</c:v>
                </c:pt>
                <c:pt idx="57">
                  <c:v>0.38254398340358176</c:v>
                </c:pt>
                <c:pt idx="58">
                  <c:v>0.25361075193322602</c:v>
                </c:pt>
                <c:pt idx="59">
                  <c:v>0.92534183372675827</c:v>
                </c:pt>
                <c:pt idx="60">
                  <c:v>0.21372551851170249</c:v>
                </c:pt>
                <c:pt idx="61">
                  <c:v>0.31008758542398762</c:v>
                </c:pt>
                <c:pt idx="62">
                  <c:v>0.22760707693764123</c:v>
                </c:pt>
                <c:pt idx="63">
                  <c:v>0.20101468175612117</c:v>
                </c:pt>
                <c:pt idx="64">
                  <c:v>0.38254398340358176</c:v>
                </c:pt>
                <c:pt idx="65">
                  <c:v>0.27831008035150495</c:v>
                </c:pt>
                <c:pt idx="66">
                  <c:v>0.67940998532232055</c:v>
                </c:pt>
                <c:pt idx="67">
                  <c:v>0.20325443844210217</c:v>
                </c:pt>
                <c:pt idx="68">
                  <c:v>0.26469491628073077</c:v>
                </c:pt>
                <c:pt idx="69">
                  <c:v>0.18463331545775591</c:v>
                </c:pt>
                <c:pt idx="70">
                  <c:v>0.36556593223214806</c:v>
                </c:pt>
                <c:pt idx="71">
                  <c:v>0.38254398340358176</c:v>
                </c:pt>
                <c:pt idx="72">
                  <c:v>0.92534183372675827</c:v>
                </c:pt>
                <c:pt idx="73">
                  <c:v>0.46118707185729535</c:v>
                </c:pt>
                <c:pt idx="74">
                  <c:v>0.42846931372690655</c:v>
                </c:pt>
                <c:pt idx="75">
                  <c:v>0.67940998532232055</c:v>
                </c:pt>
                <c:pt idx="76">
                  <c:v>0.92534183372675827</c:v>
                </c:pt>
                <c:pt idx="77">
                  <c:v>0.30247825589452981</c:v>
                </c:pt>
                <c:pt idx="78">
                  <c:v>0.18603700732718942</c:v>
                </c:pt>
                <c:pt idx="79">
                  <c:v>0.57045813260551093</c:v>
                </c:pt>
                <c:pt idx="80">
                  <c:v>0.67940998532232055</c:v>
                </c:pt>
                <c:pt idx="81">
                  <c:v>0.2044243822523385</c:v>
                </c:pt>
                <c:pt idx="82">
                  <c:v>0.38254398340358176</c:v>
                </c:pt>
                <c:pt idx="83">
                  <c:v>0.28358864943066886</c:v>
                </c:pt>
                <c:pt idx="84">
                  <c:v>0.42846931372690655</c:v>
                </c:pt>
                <c:pt idx="85">
                  <c:v>0.22760707693764123</c:v>
                </c:pt>
                <c:pt idx="86">
                  <c:v>0.31855883328575407</c:v>
                </c:pt>
                <c:pt idx="87">
                  <c:v>0.18825924775931255</c:v>
                </c:pt>
                <c:pt idx="88">
                  <c:v>0.15493228878779555</c:v>
                </c:pt>
                <c:pt idx="89">
                  <c:v>0.50550990760580061</c:v>
                </c:pt>
                <c:pt idx="90">
                  <c:v>0.30247825589452981</c:v>
                </c:pt>
                <c:pt idx="91">
                  <c:v>0.46118707185729535</c:v>
                </c:pt>
                <c:pt idx="92">
                  <c:v>0.27831008035150495</c:v>
                </c:pt>
                <c:pt idx="93">
                  <c:v>0.36556593223214806</c:v>
                </c:pt>
                <c:pt idx="94">
                  <c:v>0.40304108690235607</c:v>
                </c:pt>
                <c:pt idx="95">
                  <c:v>0.23897892568303691</c:v>
                </c:pt>
                <c:pt idx="96">
                  <c:v>0.57045813260551093</c:v>
                </c:pt>
                <c:pt idx="97">
                  <c:v>0.18750218009679703</c:v>
                </c:pt>
                <c:pt idx="98">
                  <c:v>0.32806805704517694</c:v>
                </c:pt>
                <c:pt idx="99">
                  <c:v>0.18463331545775591</c:v>
                </c:pt>
                <c:pt idx="100">
                  <c:v>0.57045813260551093</c:v>
                </c:pt>
                <c:pt idx="101">
                  <c:v>0.32806805704517694</c:v>
                </c:pt>
                <c:pt idx="102">
                  <c:v>0.29559394454532184</c:v>
                </c:pt>
                <c:pt idx="103">
                  <c:v>0.24727136519173232</c:v>
                </c:pt>
                <c:pt idx="104">
                  <c:v>0.14178038246962915</c:v>
                </c:pt>
                <c:pt idx="105">
                  <c:v>0.14933273384969514</c:v>
                </c:pt>
                <c:pt idx="106">
                  <c:v>0.33884615856764755</c:v>
                </c:pt>
                <c:pt idx="107">
                  <c:v>0.19407811868968641</c:v>
                </c:pt>
                <c:pt idx="108">
                  <c:v>0.21681144401134156</c:v>
                </c:pt>
                <c:pt idx="109">
                  <c:v>0.50550990760580061</c:v>
                </c:pt>
                <c:pt idx="110">
                  <c:v>0.1684125192278606</c:v>
                </c:pt>
                <c:pt idx="111">
                  <c:v>0.38254398340358176</c:v>
                </c:pt>
                <c:pt idx="112">
                  <c:v>0.21844049358461956</c:v>
                </c:pt>
                <c:pt idx="113">
                  <c:v>0.36556593223214806</c:v>
                </c:pt>
                <c:pt idx="114">
                  <c:v>0.57045813260551093</c:v>
                </c:pt>
                <c:pt idx="115">
                  <c:v>0.21524092672784548</c:v>
                </c:pt>
                <c:pt idx="116">
                  <c:v>0.14970174999827274</c:v>
                </c:pt>
                <c:pt idx="117">
                  <c:v>0.50550990760580061</c:v>
                </c:pt>
                <c:pt idx="118">
                  <c:v>0.25707364760587481</c:v>
                </c:pt>
                <c:pt idx="119">
                  <c:v>0.26469491628073077</c:v>
                </c:pt>
                <c:pt idx="120">
                  <c:v>0.67940998532232055</c:v>
                </c:pt>
                <c:pt idx="121">
                  <c:v>0.92534183372675827</c:v>
                </c:pt>
                <c:pt idx="122">
                  <c:v>0.23897892568303691</c:v>
                </c:pt>
                <c:pt idx="123">
                  <c:v>0.40304108690235607</c:v>
                </c:pt>
                <c:pt idx="124">
                  <c:v>0.27343252667106921</c:v>
                </c:pt>
                <c:pt idx="125">
                  <c:v>0.27343252667106921</c:v>
                </c:pt>
                <c:pt idx="126">
                  <c:v>0.22562195685849554</c:v>
                </c:pt>
                <c:pt idx="127">
                  <c:v>0.50550990760580061</c:v>
                </c:pt>
                <c:pt idx="128">
                  <c:v>0.38254398340358176</c:v>
                </c:pt>
                <c:pt idx="129">
                  <c:v>0.15045945410634423</c:v>
                </c:pt>
                <c:pt idx="130">
                  <c:v>0.18395320201035903</c:v>
                </c:pt>
                <c:pt idx="131">
                  <c:v>0.22967914413964008</c:v>
                </c:pt>
                <c:pt idx="132">
                  <c:v>0.92534183372675827</c:v>
                </c:pt>
                <c:pt idx="133">
                  <c:v>0.26469491628073077</c:v>
                </c:pt>
                <c:pt idx="134">
                  <c:v>0.22760707693764123</c:v>
                </c:pt>
                <c:pt idx="135">
                  <c:v>0.14915060256834561</c:v>
                </c:pt>
                <c:pt idx="136">
                  <c:v>0.36556593223214806</c:v>
                </c:pt>
                <c:pt idx="137">
                  <c:v>0.23897892568303691</c:v>
                </c:pt>
                <c:pt idx="138">
                  <c:v>0.67940998532232055</c:v>
                </c:pt>
                <c:pt idx="139">
                  <c:v>0.18903345697875049</c:v>
                </c:pt>
                <c:pt idx="140">
                  <c:v>0.20815554215319937</c:v>
                </c:pt>
                <c:pt idx="141">
                  <c:v>0.26890765582849979</c:v>
                </c:pt>
                <c:pt idx="142">
                  <c:v>0.25361075193322602</c:v>
                </c:pt>
                <c:pt idx="143">
                  <c:v>0.14375874462296692</c:v>
                </c:pt>
                <c:pt idx="144">
                  <c:v>0.26075999763997215</c:v>
                </c:pt>
                <c:pt idx="145">
                  <c:v>0.21524092672784548</c:v>
                </c:pt>
                <c:pt idx="146">
                  <c:v>0.28932637870875111</c:v>
                </c:pt>
                <c:pt idx="147">
                  <c:v>0.20947966237194748</c:v>
                </c:pt>
                <c:pt idx="148">
                  <c:v>0.15205923753473127</c:v>
                </c:pt>
                <c:pt idx="149">
                  <c:v>0.19689417562007286</c:v>
                </c:pt>
                <c:pt idx="150">
                  <c:v>9.6990754437049145E-2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8A-4273-B9F7-D04A54DAC4BC}"/>
            </c:ext>
          </c:extLst>
        </c:ser>
        <c:ser>
          <c:idx val="2"/>
          <c:order val="2"/>
          <c:tx>
            <c:strRef>
              <c:f>'Mekanik Dyson Hatası'!$F$1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'Mekanik Dyson Hatası'!$A$2:$A$152</c:f>
              <c:strCache>
                <c:ptCount val="151"/>
                <c:pt idx="0">
                  <c:v>7.01.2026</c:v>
                </c:pt>
                <c:pt idx="1">
                  <c:v>8.01.2026</c:v>
                </c:pt>
                <c:pt idx="2">
                  <c:v>9.01.2026</c:v>
                </c:pt>
                <c:pt idx="3">
                  <c:v>12.01.2026</c:v>
                </c:pt>
                <c:pt idx="4">
                  <c:v>13.01.2026</c:v>
                </c:pt>
                <c:pt idx="5">
                  <c:v>15.01.2026</c:v>
                </c:pt>
                <c:pt idx="6">
                  <c:v>16.01.2026</c:v>
                </c:pt>
                <c:pt idx="7">
                  <c:v>19.01.2026</c:v>
                </c:pt>
                <c:pt idx="8">
                  <c:v>21.01.2026</c:v>
                </c:pt>
                <c:pt idx="9">
                  <c:v>23.01.2026</c:v>
                </c:pt>
                <c:pt idx="10">
                  <c:v>26.01.2026</c:v>
                </c:pt>
                <c:pt idx="11">
                  <c:v>28.01.2026</c:v>
                </c:pt>
                <c:pt idx="12">
                  <c:v>30.01.2026</c:v>
                </c:pt>
                <c:pt idx="13">
                  <c:v>2.02.2026</c:v>
                </c:pt>
                <c:pt idx="14">
                  <c:v>3.02.2026</c:v>
                </c:pt>
                <c:pt idx="15">
                  <c:v>4.02.2026</c:v>
                </c:pt>
                <c:pt idx="16">
                  <c:v>5.02.2026</c:v>
                </c:pt>
                <c:pt idx="17">
                  <c:v>6.02.2026</c:v>
                </c:pt>
                <c:pt idx="18">
                  <c:v>9.02.2026</c:v>
                </c:pt>
                <c:pt idx="19">
                  <c:v>10.02.2026</c:v>
                </c:pt>
                <c:pt idx="20">
                  <c:v>11.02.2026</c:v>
                </c:pt>
                <c:pt idx="21">
                  <c:v>12.02.2026</c:v>
                </c:pt>
                <c:pt idx="22">
                  <c:v>13.02.2026</c:v>
                </c:pt>
                <c:pt idx="23">
                  <c:v>16.02.2026</c:v>
                </c:pt>
                <c:pt idx="24">
                  <c:v>17.02.2026</c:v>
                </c:pt>
                <c:pt idx="25">
                  <c:v>18.02.2026</c:v>
                </c:pt>
                <c:pt idx="26">
                  <c:v>19.02.2026</c:v>
                </c:pt>
                <c:pt idx="27">
                  <c:v>23.02.2026</c:v>
                </c:pt>
                <c:pt idx="28">
                  <c:v>24.02.2026</c:v>
                </c:pt>
                <c:pt idx="29">
                  <c:v>25.02.2026</c:v>
                </c:pt>
                <c:pt idx="30">
                  <c:v>26.02.2026</c:v>
                </c:pt>
                <c:pt idx="31">
                  <c:v>28.02.2026</c:v>
                </c:pt>
                <c:pt idx="32">
                  <c:v>2.03.2026</c:v>
                </c:pt>
                <c:pt idx="33">
                  <c:v>3.03.2026</c:v>
                </c:pt>
                <c:pt idx="34">
                  <c:v>5.03.2026</c:v>
                </c:pt>
                <c:pt idx="35">
                  <c:v>6.03.2026</c:v>
                </c:pt>
                <c:pt idx="36">
                  <c:v>9.03.2026</c:v>
                </c:pt>
                <c:pt idx="37">
                  <c:v>10.03.2026</c:v>
                </c:pt>
                <c:pt idx="38">
                  <c:v>11.03.2026</c:v>
                </c:pt>
                <c:pt idx="39">
                  <c:v>12.03.2026</c:v>
                </c:pt>
                <c:pt idx="40">
                  <c:v>13.03.2026</c:v>
                </c:pt>
                <c:pt idx="41">
                  <c:v>15.03.2026</c:v>
                </c:pt>
                <c:pt idx="42">
                  <c:v>16.03.2026</c:v>
                </c:pt>
                <c:pt idx="43">
                  <c:v>17.03.2026</c:v>
                </c:pt>
                <c:pt idx="44">
                  <c:v>18.03.2026</c:v>
                </c:pt>
                <c:pt idx="45">
                  <c:v>20.03.2026</c:v>
                </c:pt>
                <c:pt idx="46">
                  <c:v>23.03.2026</c:v>
                </c:pt>
                <c:pt idx="47">
                  <c:v>24.03.2026</c:v>
                </c:pt>
                <c:pt idx="48">
                  <c:v>25.03.2026</c:v>
                </c:pt>
                <c:pt idx="49">
                  <c:v>26.03.2026</c:v>
                </c:pt>
                <c:pt idx="50">
                  <c:v>27.03.2026</c:v>
                </c:pt>
                <c:pt idx="51">
                  <c:v>30.03.2026</c:v>
                </c:pt>
                <c:pt idx="52">
                  <c:v>31.03.2026</c:v>
                </c:pt>
                <c:pt idx="53">
                  <c:v>1.04.2026</c:v>
                </c:pt>
                <c:pt idx="54">
                  <c:v>3.04.2026</c:v>
                </c:pt>
                <c:pt idx="55">
                  <c:v>6.04.2026</c:v>
                </c:pt>
                <c:pt idx="56">
                  <c:v>7.04.2026</c:v>
                </c:pt>
                <c:pt idx="57">
                  <c:v>8.04.2026</c:v>
                </c:pt>
                <c:pt idx="58">
                  <c:v>9.04.2026</c:v>
                </c:pt>
                <c:pt idx="59">
                  <c:v>10.04.2026</c:v>
                </c:pt>
                <c:pt idx="60">
                  <c:v>13.04.2026</c:v>
                </c:pt>
                <c:pt idx="61">
                  <c:v>14.04.2026</c:v>
                </c:pt>
                <c:pt idx="62">
                  <c:v>15.04.2026</c:v>
                </c:pt>
                <c:pt idx="63">
                  <c:v>16.04.2026</c:v>
                </c:pt>
                <c:pt idx="64">
                  <c:v>20.04.2026</c:v>
                </c:pt>
                <c:pt idx="65">
                  <c:v>21.04.2026</c:v>
                </c:pt>
                <c:pt idx="66">
                  <c:v>22.04.2026</c:v>
                </c:pt>
                <c:pt idx="67">
                  <c:v>24.04.2026</c:v>
                </c:pt>
                <c:pt idx="68">
                  <c:v>27.04.2026</c:v>
                </c:pt>
                <c:pt idx="69">
                  <c:v>28.04.2026</c:v>
                </c:pt>
                <c:pt idx="70">
                  <c:v>29.04.2026</c:v>
                </c:pt>
                <c:pt idx="71">
                  <c:v>30.04.2026</c:v>
                </c:pt>
                <c:pt idx="72">
                  <c:v>5.05.2026</c:v>
                </c:pt>
                <c:pt idx="73">
                  <c:v>6.05.2026</c:v>
                </c:pt>
                <c:pt idx="74">
                  <c:v>7.05.2026</c:v>
                </c:pt>
                <c:pt idx="75">
                  <c:v>8.05.2026</c:v>
                </c:pt>
                <c:pt idx="76">
                  <c:v>11.05.2026</c:v>
                </c:pt>
                <c:pt idx="77">
                  <c:v>13.05.2026</c:v>
                </c:pt>
                <c:pt idx="78">
                  <c:v>14.05.2026</c:v>
                </c:pt>
                <c:pt idx="79">
                  <c:v>18.05.2026</c:v>
                </c:pt>
                <c:pt idx="80">
                  <c:v>21.05.2026</c:v>
                </c:pt>
                <c:pt idx="81">
                  <c:v>1.06.2026</c:v>
                </c:pt>
                <c:pt idx="82">
                  <c:v>3.06.2026</c:v>
                </c:pt>
                <c:pt idx="83">
                  <c:v>4.06.2026</c:v>
                </c:pt>
                <c:pt idx="84">
                  <c:v>5.06.2026</c:v>
                </c:pt>
                <c:pt idx="85">
                  <c:v>8.06.2026</c:v>
                </c:pt>
                <c:pt idx="86">
                  <c:v>9.06.2026</c:v>
                </c:pt>
                <c:pt idx="87">
                  <c:v>10.06.2026</c:v>
                </c:pt>
                <c:pt idx="88">
                  <c:v>11.06.2026</c:v>
                </c:pt>
                <c:pt idx="89">
                  <c:v>12.06.2026</c:v>
                </c:pt>
                <c:pt idx="90">
                  <c:v>13.06.2026</c:v>
                </c:pt>
                <c:pt idx="91">
                  <c:v>15.06.2026</c:v>
                </c:pt>
                <c:pt idx="92">
                  <c:v>16.06.2026</c:v>
                </c:pt>
                <c:pt idx="93">
                  <c:v>17.06.2026</c:v>
                </c:pt>
                <c:pt idx="94">
                  <c:v>18.06.2026</c:v>
                </c:pt>
                <c:pt idx="95">
                  <c:v>19.06.2026</c:v>
                </c:pt>
                <c:pt idx="96">
                  <c:v>22.06.2026</c:v>
                </c:pt>
                <c:pt idx="97">
                  <c:v>23.06.2026</c:v>
                </c:pt>
                <c:pt idx="98">
                  <c:v>24.06.2026</c:v>
                </c:pt>
                <c:pt idx="99">
                  <c:v>25.06.2026</c:v>
                </c:pt>
                <c:pt idx="100">
                  <c:v>26.06.2026</c:v>
                </c:pt>
                <c:pt idx="101">
                  <c:v>30.06.2026</c:v>
                </c:pt>
                <c:pt idx="102">
                  <c:v>2.07.2026</c:v>
                </c:pt>
                <c:pt idx="103">
                  <c:v>3.07.2026</c:v>
                </c:pt>
                <c:pt idx="104">
                  <c:v>4.07.2026</c:v>
                </c:pt>
                <c:pt idx="105">
                  <c:v>6.07.2026</c:v>
                </c:pt>
                <c:pt idx="106">
                  <c:v>7.07.2026</c:v>
                </c:pt>
                <c:pt idx="107">
                  <c:v>8.07.2026</c:v>
                </c:pt>
                <c:pt idx="108">
                  <c:v>9.07.2026</c:v>
                </c:pt>
                <c:pt idx="109">
                  <c:v>10.07.2026</c:v>
                </c:pt>
                <c:pt idx="110">
                  <c:v>13.07.2026</c:v>
                </c:pt>
                <c:pt idx="111">
                  <c:v>14.07.2026</c:v>
                </c:pt>
                <c:pt idx="112">
                  <c:v>16.07.2026</c:v>
                </c:pt>
                <c:pt idx="113">
                  <c:v>17.07.2026</c:v>
                </c:pt>
                <c:pt idx="114">
                  <c:v>18.07.2026</c:v>
                </c:pt>
                <c:pt idx="115">
                  <c:v>20.07.2026</c:v>
                </c:pt>
                <c:pt idx="116">
                  <c:v>21.07.2026</c:v>
                </c:pt>
                <c:pt idx="117">
                  <c:v>22.07.2026</c:v>
                </c:pt>
                <c:pt idx="118">
                  <c:v>23.07.2026</c:v>
                </c:pt>
                <c:pt idx="119">
                  <c:v>24.07.2026</c:v>
                </c:pt>
                <c:pt idx="120">
                  <c:v>25.07.2026</c:v>
                </c:pt>
                <c:pt idx="121">
                  <c:v>26.07.2026</c:v>
                </c:pt>
                <c:pt idx="122">
                  <c:v>27.07.2026</c:v>
                </c:pt>
                <c:pt idx="123">
                  <c:v>28.07.2026</c:v>
                </c:pt>
                <c:pt idx="124">
                  <c:v>29.07.2026</c:v>
                </c:pt>
                <c:pt idx="125">
                  <c:v>30.07.2026</c:v>
                </c:pt>
                <c:pt idx="126">
                  <c:v>31.07.2026</c:v>
                </c:pt>
                <c:pt idx="127">
                  <c:v>3.08.2026</c:v>
                </c:pt>
                <c:pt idx="128">
                  <c:v>4.08.2026</c:v>
                </c:pt>
                <c:pt idx="129">
                  <c:v>5.08.2026</c:v>
                </c:pt>
                <c:pt idx="130">
                  <c:v>6.08.2026</c:v>
                </c:pt>
                <c:pt idx="131">
                  <c:v>7.08.2026</c:v>
                </c:pt>
                <c:pt idx="132">
                  <c:v>8.08.2026</c:v>
                </c:pt>
                <c:pt idx="133">
                  <c:v>10.08.2026</c:v>
                </c:pt>
                <c:pt idx="134">
                  <c:v>11.08.2026</c:v>
                </c:pt>
                <c:pt idx="135">
                  <c:v>12.08.2026</c:v>
                </c:pt>
                <c:pt idx="136">
                  <c:v>13.08.2026</c:v>
                </c:pt>
                <c:pt idx="137">
                  <c:v>14.08.2026</c:v>
                </c:pt>
                <c:pt idx="138">
                  <c:v>16.08.2026</c:v>
                </c:pt>
                <c:pt idx="139">
                  <c:v>17.08.2026</c:v>
                </c:pt>
                <c:pt idx="140">
                  <c:v>18.08.2026</c:v>
                </c:pt>
                <c:pt idx="141">
                  <c:v>19.08.2026</c:v>
                </c:pt>
                <c:pt idx="142">
                  <c:v>20.08.2026</c:v>
                </c:pt>
                <c:pt idx="143">
                  <c:v>21.08.2026</c:v>
                </c:pt>
                <c:pt idx="144">
                  <c:v>22.08.2026</c:v>
                </c:pt>
                <c:pt idx="145">
                  <c:v>24.08.2026</c:v>
                </c:pt>
                <c:pt idx="146">
                  <c:v>25.08.2026</c:v>
                </c:pt>
                <c:pt idx="147">
                  <c:v>26.08.2026</c:v>
                </c:pt>
                <c:pt idx="148">
                  <c:v>27.08.2026</c:v>
                </c:pt>
                <c:pt idx="149">
                  <c:v>28.08.2026</c:v>
                </c:pt>
                <c:pt idx="150">
                  <c:v>Genel Toplam</c:v>
                </c:pt>
              </c:strCache>
            </c:strRef>
          </c:cat>
          <c:val>
            <c:numRef>
              <c:f>'Mekanik Dyson Hatası'!$F$2:$F$152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3.8443199434727203E-2</c:v>
                </c:pt>
                <c:pt idx="9">
                  <c:v>0</c:v>
                </c:pt>
                <c:pt idx="10">
                  <c:v>0</c:v>
                </c:pt>
                <c:pt idx="11">
                  <c:v>2.7033314218008558E-2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2.9434437418253689E-3</c:v>
                </c:pt>
                <c:pt idx="30">
                  <c:v>2.538871462476805E-3</c:v>
                </c:pt>
                <c:pt idx="31">
                  <c:v>0</c:v>
                </c:pt>
                <c:pt idx="32">
                  <c:v>0</c:v>
                </c:pt>
                <c:pt idx="33">
                  <c:v>3.0669773561919716E-2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2.538871462476805E-3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2.0310239242750161E-2</c:v>
                </c:pt>
                <c:pt idx="48">
                  <c:v>9.0275093857460215E-3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1.6423674181890419E-2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2.9575580500056819E-2</c:v>
                </c:pt>
                <c:pt idx="105">
                  <c:v>2.2023229119990842E-2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2.9434437418253689E-3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2.1654212971413234E-2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2.089650886334174E-2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2.2205360401340357E-2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2.7597218346719049E-2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1.9296725434954698E-2</c:v>
                </c:pt>
                <c:pt idx="149">
                  <c:v>0</c:v>
                </c:pt>
                <c:pt idx="150">
                  <c:v>7.4365208532636826E-2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8A-4273-B9F7-D04A54DAC4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075328"/>
        <c:axId val="368461743"/>
      </c:lineChart>
      <c:catAx>
        <c:axId val="18007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461743"/>
        <c:crosses val="autoZero"/>
        <c:auto val="1"/>
        <c:lblAlgn val="ctr"/>
        <c:lblOffset val="100"/>
        <c:noMultiLvlLbl val="0"/>
      </c:catAx>
      <c:valAx>
        <c:axId val="36846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8007532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Cosmetic Error </a:t>
            </a:r>
            <a:r>
              <a:rPr lang="tr-TR" baseline="0"/>
              <a:t>P-chart</a:t>
            </a:r>
            <a:endParaRPr lang="tr-T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3676629426557291"/>
          <c:y val="0.17227137835689851"/>
          <c:w val="0.84983508311461065"/>
          <c:h val="0.51052311169437159"/>
        </c:manualLayout>
      </c:layout>
      <c:lineChart>
        <c:grouping val="standard"/>
        <c:varyColors val="0"/>
        <c:ser>
          <c:idx val="0"/>
          <c:order val="0"/>
          <c:tx>
            <c:strRef>
              <c:f>'Kozmetik Hata'!$F$1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'Kozmetik Hata'!$B$2:$B$152</c:f>
              <c:numCache>
                <c:formatCode>m/d/yyyy</c:formatCode>
                <c:ptCount val="151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46034</c:v>
                </c:pt>
                <c:pt idx="5">
                  <c:v>46035</c:v>
                </c:pt>
                <c:pt idx="6">
                  <c:v>46036</c:v>
                </c:pt>
                <c:pt idx="7">
                  <c:v>46037</c:v>
                </c:pt>
                <c:pt idx="8">
                  <c:v>46038</c:v>
                </c:pt>
                <c:pt idx="9">
                  <c:v>46041</c:v>
                </c:pt>
                <c:pt idx="10">
                  <c:v>46043</c:v>
                </c:pt>
                <c:pt idx="11">
                  <c:v>46045</c:v>
                </c:pt>
                <c:pt idx="12">
                  <c:v>46048</c:v>
                </c:pt>
                <c:pt idx="13">
                  <c:v>46050</c:v>
                </c:pt>
                <c:pt idx="14">
                  <c:v>46052</c:v>
                </c:pt>
                <c:pt idx="15">
                  <c:v>46055</c:v>
                </c:pt>
                <c:pt idx="16">
                  <c:v>46056</c:v>
                </c:pt>
                <c:pt idx="17">
                  <c:v>46057</c:v>
                </c:pt>
                <c:pt idx="18">
                  <c:v>46058</c:v>
                </c:pt>
                <c:pt idx="19">
                  <c:v>46059</c:v>
                </c:pt>
                <c:pt idx="20">
                  <c:v>46062</c:v>
                </c:pt>
                <c:pt idx="21">
                  <c:v>46063</c:v>
                </c:pt>
                <c:pt idx="22">
                  <c:v>46064</c:v>
                </c:pt>
                <c:pt idx="23">
                  <c:v>46065</c:v>
                </c:pt>
                <c:pt idx="24">
                  <c:v>46066</c:v>
                </c:pt>
                <c:pt idx="25">
                  <c:v>46069</c:v>
                </c:pt>
                <c:pt idx="26">
                  <c:v>46070</c:v>
                </c:pt>
                <c:pt idx="27">
                  <c:v>46071</c:v>
                </c:pt>
                <c:pt idx="28">
                  <c:v>46072</c:v>
                </c:pt>
                <c:pt idx="29">
                  <c:v>46076</c:v>
                </c:pt>
                <c:pt idx="30">
                  <c:v>46077</c:v>
                </c:pt>
                <c:pt idx="31">
                  <c:v>46078</c:v>
                </c:pt>
                <c:pt idx="32">
                  <c:v>46079</c:v>
                </c:pt>
                <c:pt idx="33">
                  <c:v>46081</c:v>
                </c:pt>
                <c:pt idx="34">
                  <c:v>46083</c:v>
                </c:pt>
                <c:pt idx="35">
                  <c:v>46084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46101</c:v>
                </c:pt>
                <c:pt idx="48">
                  <c:v>46104</c:v>
                </c:pt>
                <c:pt idx="49">
                  <c:v>46105</c:v>
                </c:pt>
                <c:pt idx="50">
                  <c:v>46106</c:v>
                </c:pt>
                <c:pt idx="51">
                  <c:v>46107</c:v>
                </c:pt>
                <c:pt idx="52">
                  <c:v>46108</c:v>
                </c:pt>
                <c:pt idx="53">
                  <c:v>46111</c:v>
                </c:pt>
                <c:pt idx="54">
                  <c:v>46112</c:v>
                </c:pt>
                <c:pt idx="55">
                  <c:v>46113</c:v>
                </c:pt>
                <c:pt idx="56">
                  <c:v>46115</c:v>
                </c:pt>
                <c:pt idx="57">
                  <c:v>46118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46132</c:v>
                </c:pt>
                <c:pt idx="67">
                  <c:v>46133</c:v>
                </c:pt>
                <c:pt idx="68">
                  <c:v>46134</c:v>
                </c:pt>
                <c:pt idx="69">
                  <c:v>46136</c:v>
                </c:pt>
                <c:pt idx="70">
                  <c:v>46139</c:v>
                </c:pt>
                <c:pt idx="71">
                  <c:v>46140</c:v>
                </c:pt>
                <c:pt idx="72">
                  <c:v>46141</c:v>
                </c:pt>
                <c:pt idx="73">
                  <c:v>46142</c:v>
                </c:pt>
                <c:pt idx="74">
                  <c:v>46147</c:v>
                </c:pt>
                <c:pt idx="75">
                  <c:v>46148</c:v>
                </c:pt>
                <c:pt idx="76">
                  <c:v>46149</c:v>
                </c:pt>
                <c:pt idx="77">
                  <c:v>46150</c:v>
                </c:pt>
                <c:pt idx="78">
                  <c:v>46153</c:v>
                </c:pt>
                <c:pt idx="79">
                  <c:v>46156</c:v>
                </c:pt>
                <c:pt idx="80">
                  <c:v>46160</c:v>
                </c:pt>
                <c:pt idx="81">
                  <c:v>46163</c:v>
                </c:pt>
                <c:pt idx="82">
                  <c:v>46176</c:v>
                </c:pt>
                <c:pt idx="83">
                  <c:v>46177</c:v>
                </c:pt>
                <c:pt idx="84">
                  <c:v>46178</c:v>
                </c:pt>
                <c:pt idx="85">
                  <c:v>46181</c:v>
                </c:pt>
                <c:pt idx="86">
                  <c:v>46182</c:v>
                </c:pt>
                <c:pt idx="87">
                  <c:v>46183</c:v>
                </c:pt>
                <c:pt idx="88">
                  <c:v>46184</c:v>
                </c:pt>
                <c:pt idx="89">
                  <c:v>46185</c:v>
                </c:pt>
                <c:pt idx="90">
                  <c:v>46186</c:v>
                </c:pt>
                <c:pt idx="91">
                  <c:v>46188</c:v>
                </c:pt>
                <c:pt idx="92">
                  <c:v>46189</c:v>
                </c:pt>
                <c:pt idx="93">
                  <c:v>46190</c:v>
                </c:pt>
                <c:pt idx="94">
                  <c:v>46191</c:v>
                </c:pt>
                <c:pt idx="95">
                  <c:v>46192</c:v>
                </c:pt>
                <c:pt idx="96">
                  <c:v>46195</c:v>
                </c:pt>
                <c:pt idx="97">
                  <c:v>46196</c:v>
                </c:pt>
                <c:pt idx="98">
                  <c:v>46197</c:v>
                </c:pt>
                <c:pt idx="99">
                  <c:v>46198</c:v>
                </c:pt>
                <c:pt idx="100">
                  <c:v>46199</c:v>
                </c:pt>
                <c:pt idx="101">
                  <c:v>46203</c:v>
                </c:pt>
                <c:pt idx="102">
                  <c:v>46205</c:v>
                </c:pt>
                <c:pt idx="103">
                  <c:v>46206</c:v>
                </c:pt>
                <c:pt idx="104">
                  <c:v>46207</c:v>
                </c:pt>
                <c:pt idx="105">
                  <c:v>46209</c:v>
                </c:pt>
                <c:pt idx="106">
                  <c:v>46210</c:v>
                </c:pt>
                <c:pt idx="107">
                  <c:v>46211</c:v>
                </c:pt>
                <c:pt idx="108">
                  <c:v>46212</c:v>
                </c:pt>
                <c:pt idx="109">
                  <c:v>46213</c:v>
                </c:pt>
                <c:pt idx="110">
                  <c:v>46216</c:v>
                </c:pt>
                <c:pt idx="111">
                  <c:v>46217</c:v>
                </c:pt>
                <c:pt idx="112">
                  <c:v>46219</c:v>
                </c:pt>
                <c:pt idx="113">
                  <c:v>46220</c:v>
                </c:pt>
                <c:pt idx="114">
                  <c:v>46221</c:v>
                </c:pt>
                <c:pt idx="115">
                  <c:v>46223</c:v>
                </c:pt>
                <c:pt idx="116">
                  <c:v>46224</c:v>
                </c:pt>
                <c:pt idx="117">
                  <c:v>46225</c:v>
                </c:pt>
                <c:pt idx="118">
                  <c:v>46226</c:v>
                </c:pt>
                <c:pt idx="119">
                  <c:v>46227</c:v>
                </c:pt>
                <c:pt idx="120">
                  <c:v>46228</c:v>
                </c:pt>
                <c:pt idx="121">
                  <c:v>46229</c:v>
                </c:pt>
                <c:pt idx="122">
                  <c:v>46230</c:v>
                </c:pt>
                <c:pt idx="123">
                  <c:v>46231</c:v>
                </c:pt>
                <c:pt idx="124">
                  <c:v>46232</c:v>
                </c:pt>
                <c:pt idx="125">
                  <c:v>46233</c:v>
                </c:pt>
                <c:pt idx="126">
                  <c:v>46234</c:v>
                </c:pt>
                <c:pt idx="127">
                  <c:v>46237</c:v>
                </c:pt>
                <c:pt idx="128">
                  <c:v>46238</c:v>
                </c:pt>
                <c:pt idx="129">
                  <c:v>46239</c:v>
                </c:pt>
                <c:pt idx="130">
                  <c:v>46240</c:v>
                </c:pt>
                <c:pt idx="131">
                  <c:v>46241</c:v>
                </c:pt>
                <c:pt idx="132">
                  <c:v>46242</c:v>
                </c:pt>
                <c:pt idx="133">
                  <c:v>46244</c:v>
                </c:pt>
                <c:pt idx="134">
                  <c:v>46245</c:v>
                </c:pt>
                <c:pt idx="135">
                  <c:v>46246</c:v>
                </c:pt>
                <c:pt idx="136">
                  <c:v>46247</c:v>
                </c:pt>
                <c:pt idx="137">
                  <c:v>46248</c:v>
                </c:pt>
                <c:pt idx="138">
                  <c:v>46250</c:v>
                </c:pt>
                <c:pt idx="139">
                  <c:v>46251</c:v>
                </c:pt>
                <c:pt idx="140">
                  <c:v>46252</c:v>
                </c:pt>
                <c:pt idx="141">
                  <c:v>46253</c:v>
                </c:pt>
                <c:pt idx="142">
                  <c:v>46254</c:v>
                </c:pt>
                <c:pt idx="143">
                  <c:v>46255</c:v>
                </c:pt>
                <c:pt idx="144">
                  <c:v>46256</c:v>
                </c:pt>
                <c:pt idx="145">
                  <c:v>46258</c:v>
                </c:pt>
                <c:pt idx="146">
                  <c:v>46259</c:v>
                </c:pt>
                <c:pt idx="147">
                  <c:v>46260</c:v>
                </c:pt>
                <c:pt idx="148">
                  <c:v>46261</c:v>
                </c:pt>
                <c:pt idx="149">
                  <c:v>46262</c:v>
                </c:pt>
              </c:numCache>
            </c:numRef>
          </c:cat>
          <c:val>
            <c:numRef>
              <c:f>'Kozmetik Hata'!$F$2:$F$152</c:f>
              <c:numCache>
                <c:formatCode>General</c:formatCode>
                <c:ptCount val="151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0.25</c:v>
                </c:pt>
                <c:pt idx="4">
                  <c:v>1</c:v>
                </c:pt>
                <c:pt idx="5">
                  <c:v>0</c:v>
                </c:pt>
                <c:pt idx="6">
                  <c:v>5.8823529411764705E-2</c:v>
                </c:pt>
                <c:pt idx="7">
                  <c:v>0</c:v>
                </c:pt>
                <c:pt idx="8">
                  <c:v>0</c:v>
                </c:pt>
                <c:pt idx="9">
                  <c:v>0.14285714285714285</c:v>
                </c:pt>
                <c:pt idx="10">
                  <c:v>0</c:v>
                </c:pt>
                <c:pt idx="11">
                  <c:v>0.1111111111111111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4.2553191489361701E-2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2.2222222222222223E-2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0.14285714285714285</c:v>
                </c:pt>
                <c:pt idx="35">
                  <c:v>2.5380710659898477E-2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9.375E-2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7.407407407407407E-2</c:v>
                </c:pt>
                <c:pt idx="46">
                  <c:v>0</c:v>
                </c:pt>
                <c:pt idx="47">
                  <c:v>0</c:v>
                </c:pt>
                <c:pt idx="48">
                  <c:v>0.19811320754716982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0.22222222222222221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0.33333333333333331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4.3478260869565216E-2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0.125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1.1565468814539447E-2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B-4811-B006-83B66C105FEE}"/>
            </c:ext>
          </c:extLst>
        </c:ser>
        <c:ser>
          <c:idx val="1"/>
          <c:order val="1"/>
          <c:tx>
            <c:strRef>
              <c:f>'Kozmetik Hata'!$G$1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'Kozmetik Hata'!$B$2:$B$152</c:f>
              <c:numCache>
                <c:formatCode>m/d/yyyy</c:formatCode>
                <c:ptCount val="151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46034</c:v>
                </c:pt>
                <c:pt idx="5">
                  <c:v>46035</c:v>
                </c:pt>
                <c:pt idx="6">
                  <c:v>46036</c:v>
                </c:pt>
                <c:pt idx="7">
                  <c:v>46037</c:v>
                </c:pt>
                <c:pt idx="8">
                  <c:v>46038</c:v>
                </c:pt>
                <c:pt idx="9">
                  <c:v>46041</c:v>
                </c:pt>
                <c:pt idx="10">
                  <c:v>46043</c:v>
                </c:pt>
                <c:pt idx="11">
                  <c:v>46045</c:v>
                </c:pt>
                <c:pt idx="12">
                  <c:v>46048</c:v>
                </c:pt>
                <c:pt idx="13">
                  <c:v>46050</c:v>
                </c:pt>
                <c:pt idx="14">
                  <c:v>46052</c:v>
                </c:pt>
                <c:pt idx="15">
                  <c:v>46055</c:v>
                </c:pt>
                <c:pt idx="16">
                  <c:v>46056</c:v>
                </c:pt>
                <c:pt idx="17">
                  <c:v>46057</c:v>
                </c:pt>
                <c:pt idx="18">
                  <c:v>46058</c:v>
                </c:pt>
                <c:pt idx="19">
                  <c:v>46059</c:v>
                </c:pt>
                <c:pt idx="20">
                  <c:v>46062</c:v>
                </c:pt>
                <c:pt idx="21">
                  <c:v>46063</c:v>
                </c:pt>
                <c:pt idx="22">
                  <c:v>46064</c:v>
                </c:pt>
                <c:pt idx="23">
                  <c:v>46065</c:v>
                </c:pt>
                <c:pt idx="24">
                  <c:v>46066</c:v>
                </c:pt>
                <c:pt idx="25">
                  <c:v>46069</c:v>
                </c:pt>
                <c:pt idx="26">
                  <c:v>46070</c:v>
                </c:pt>
                <c:pt idx="27">
                  <c:v>46071</c:v>
                </c:pt>
                <c:pt idx="28">
                  <c:v>46072</c:v>
                </c:pt>
                <c:pt idx="29">
                  <c:v>46076</c:v>
                </c:pt>
                <c:pt idx="30">
                  <c:v>46077</c:v>
                </c:pt>
                <c:pt idx="31">
                  <c:v>46078</c:v>
                </c:pt>
                <c:pt idx="32">
                  <c:v>46079</c:v>
                </c:pt>
                <c:pt idx="33">
                  <c:v>46081</c:v>
                </c:pt>
                <c:pt idx="34">
                  <c:v>46083</c:v>
                </c:pt>
                <c:pt idx="35">
                  <c:v>46084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46101</c:v>
                </c:pt>
                <c:pt idx="48">
                  <c:v>46104</c:v>
                </c:pt>
                <c:pt idx="49">
                  <c:v>46105</c:v>
                </c:pt>
                <c:pt idx="50">
                  <c:v>46106</c:v>
                </c:pt>
                <c:pt idx="51">
                  <c:v>46107</c:v>
                </c:pt>
                <c:pt idx="52">
                  <c:v>46108</c:v>
                </c:pt>
                <c:pt idx="53">
                  <c:v>46111</c:v>
                </c:pt>
                <c:pt idx="54">
                  <c:v>46112</c:v>
                </c:pt>
                <c:pt idx="55">
                  <c:v>46113</c:v>
                </c:pt>
                <c:pt idx="56">
                  <c:v>46115</c:v>
                </c:pt>
                <c:pt idx="57">
                  <c:v>46118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46132</c:v>
                </c:pt>
                <c:pt idx="67">
                  <c:v>46133</c:v>
                </c:pt>
                <c:pt idx="68">
                  <c:v>46134</c:v>
                </c:pt>
                <c:pt idx="69">
                  <c:v>46136</c:v>
                </c:pt>
                <c:pt idx="70">
                  <c:v>46139</c:v>
                </c:pt>
                <c:pt idx="71">
                  <c:v>46140</c:v>
                </c:pt>
                <c:pt idx="72">
                  <c:v>46141</c:v>
                </c:pt>
                <c:pt idx="73">
                  <c:v>46142</c:v>
                </c:pt>
                <c:pt idx="74">
                  <c:v>46147</c:v>
                </c:pt>
                <c:pt idx="75">
                  <c:v>46148</c:v>
                </c:pt>
                <c:pt idx="76">
                  <c:v>46149</c:v>
                </c:pt>
                <c:pt idx="77">
                  <c:v>46150</c:v>
                </c:pt>
                <c:pt idx="78">
                  <c:v>46153</c:v>
                </c:pt>
                <c:pt idx="79">
                  <c:v>46156</c:v>
                </c:pt>
                <c:pt idx="80">
                  <c:v>46160</c:v>
                </c:pt>
                <c:pt idx="81">
                  <c:v>46163</c:v>
                </c:pt>
                <c:pt idx="82">
                  <c:v>46176</c:v>
                </c:pt>
                <c:pt idx="83">
                  <c:v>46177</c:v>
                </c:pt>
                <c:pt idx="84">
                  <c:v>46178</c:v>
                </c:pt>
                <c:pt idx="85">
                  <c:v>46181</c:v>
                </c:pt>
                <c:pt idx="86">
                  <c:v>46182</c:v>
                </c:pt>
                <c:pt idx="87">
                  <c:v>46183</c:v>
                </c:pt>
                <c:pt idx="88">
                  <c:v>46184</c:v>
                </c:pt>
                <c:pt idx="89">
                  <c:v>46185</c:v>
                </c:pt>
                <c:pt idx="90">
                  <c:v>46186</c:v>
                </c:pt>
                <c:pt idx="91">
                  <c:v>46188</c:v>
                </c:pt>
                <c:pt idx="92">
                  <c:v>46189</c:v>
                </c:pt>
                <c:pt idx="93">
                  <c:v>46190</c:v>
                </c:pt>
                <c:pt idx="94">
                  <c:v>46191</c:v>
                </c:pt>
                <c:pt idx="95">
                  <c:v>46192</c:v>
                </c:pt>
                <c:pt idx="96">
                  <c:v>46195</c:v>
                </c:pt>
                <c:pt idx="97">
                  <c:v>46196</c:v>
                </c:pt>
                <c:pt idx="98">
                  <c:v>46197</c:v>
                </c:pt>
                <c:pt idx="99">
                  <c:v>46198</c:v>
                </c:pt>
                <c:pt idx="100">
                  <c:v>46199</c:v>
                </c:pt>
                <c:pt idx="101">
                  <c:v>46203</c:v>
                </c:pt>
                <c:pt idx="102">
                  <c:v>46205</c:v>
                </c:pt>
                <c:pt idx="103">
                  <c:v>46206</c:v>
                </c:pt>
                <c:pt idx="104">
                  <c:v>46207</c:v>
                </c:pt>
                <c:pt idx="105">
                  <c:v>46209</c:v>
                </c:pt>
                <c:pt idx="106">
                  <c:v>46210</c:v>
                </c:pt>
                <c:pt idx="107">
                  <c:v>46211</c:v>
                </c:pt>
                <c:pt idx="108">
                  <c:v>46212</c:v>
                </c:pt>
                <c:pt idx="109">
                  <c:v>46213</c:v>
                </c:pt>
                <c:pt idx="110">
                  <c:v>46216</c:v>
                </c:pt>
                <c:pt idx="111">
                  <c:v>46217</c:v>
                </c:pt>
                <c:pt idx="112">
                  <c:v>46219</c:v>
                </c:pt>
                <c:pt idx="113">
                  <c:v>46220</c:v>
                </c:pt>
                <c:pt idx="114">
                  <c:v>46221</c:v>
                </c:pt>
                <c:pt idx="115">
                  <c:v>46223</c:v>
                </c:pt>
                <c:pt idx="116">
                  <c:v>46224</c:v>
                </c:pt>
                <c:pt idx="117">
                  <c:v>46225</c:v>
                </c:pt>
                <c:pt idx="118">
                  <c:v>46226</c:v>
                </c:pt>
                <c:pt idx="119">
                  <c:v>46227</c:v>
                </c:pt>
                <c:pt idx="120">
                  <c:v>46228</c:v>
                </c:pt>
                <c:pt idx="121">
                  <c:v>46229</c:v>
                </c:pt>
                <c:pt idx="122">
                  <c:v>46230</c:v>
                </c:pt>
                <c:pt idx="123">
                  <c:v>46231</c:v>
                </c:pt>
                <c:pt idx="124">
                  <c:v>46232</c:v>
                </c:pt>
                <c:pt idx="125">
                  <c:v>46233</c:v>
                </c:pt>
                <c:pt idx="126">
                  <c:v>46234</c:v>
                </c:pt>
                <c:pt idx="127">
                  <c:v>46237</c:v>
                </c:pt>
                <c:pt idx="128">
                  <c:v>46238</c:v>
                </c:pt>
                <c:pt idx="129">
                  <c:v>46239</c:v>
                </c:pt>
                <c:pt idx="130">
                  <c:v>46240</c:v>
                </c:pt>
                <c:pt idx="131">
                  <c:v>46241</c:v>
                </c:pt>
                <c:pt idx="132">
                  <c:v>46242</c:v>
                </c:pt>
                <c:pt idx="133">
                  <c:v>46244</c:v>
                </c:pt>
                <c:pt idx="134">
                  <c:v>46245</c:v>
                </c:pt>
                <c:pt idx="135">
                  <c:v>46246</c:v>
                </c:pt>
                <c:pt idx="136">
                  <c:v>46247</c:v>
                </c:pt>
                <c:pt idx="137">
                  <c:v>46248</c:v>
                </c:pt>
                <c:pt idx="138">
                  <c:v>46250</c:v>
                </c:pt>
                <c:pt idx="139">
                  <c:v>46251</c:v>
                </c:pt>
                <c:pt idx="140">
                  <c:v>46252</c:v>
                </c:pt>
                <c:pt idx="141">
                  <c:v>46253</c:v>
                </c:pt>
                <c:pt idx="142">
                  <c:v>46254</c:v>
                </c:pt>
                <c:pt idx="143">
                  <c:v>46255</c:v>
                </c:pt>
                <c:pt idx="144">
                  <c:v>46256</c:v>
                </c:pt>
                <c:pt idx="145">
                  <c:v>46258</c:v>
                </c:pt>
                <c:pt idx="146">
                  <c:v>46259</c:v>
                </c:pt>
                <c:pt idx="147">
                  <c:v>46260</c:v>
                </c:pt>
                <c:pt idx="148">
                  <c:v>46261</c:v>
                </c:pt>
                <c:pt idx="149">
                  <c:v>46262</c:v>
                </c:pt>
              </c:numCache>
            </c:numRef>
          </c:cat>
          <c:val>
            <c:numRef>
              <c:f>'Kozmetik Hata'!$G$2:$G$152</c:f>
              <c:numCache>
                <c:formatCode>General</c:formatCode>
                <c:ptCount val="151"/>
                <c:pt idx="0">
                  <c:v>0.17194422263713457</c:v>
                </c:pt>
                <c:pt idx="1">
                  <c:v>0.23837527758694932</c:v>
                </c:pt>
                <c:pt idx="2">
                  <c:v>6.6574927549527027E-2</c:v>
                </c:pt>
                <c:pt idx="3">
                  <c:v>0.17194422263713457</c:v>
                </c:pt>
                <c:pt idx="4">
                  <c:v>0.23837527758694932</c:v>
                </c:pt>
                <c:pt idx="5">
                  <c:v>4.7205191886227245E-2</c:v>
                </c:pt>
                <c:pt idx="6">
                  <c:v>6.6574927549527027E-2</c:v>
                </c:pt>
                <c:pt idx="7">
                  <c:v>0.14251417296413782</c:v>
                </c:pt>
                <c:pt idx="8">
                  <c:v>0.23837527758694932</c:v>
                </c:pt>
                <c:pt idx="9">
                  <c:v>9.7291518660526946E-2</c:v>
                </c:pt>
                <c:pt idx="10">
                  <c:v>2.9609488363678951E-2</c:v>
                </c:pt>
                <c:pt idx="11">
                  <c:v>0.11848463802960284</c:v>
                </c:pt>
                <c:pt idx="12">
                  <c:v>0.23837527758694932</c:v>
                </c:pt>
                <c:pt idx="13">
                  <c:v>3.3968144908033744E-2</c:v>
                </c:pt>
                <c:pt idx="14">
                  <c:v>0.14251417296413782</c:v>
                </c:pt>
                <c:pt idx="15">
                  <c:v>5.8352759940090961E-2</c:v>
                </c:pt>
                <c:pt idx="16">
                  <c:v>0.33232297645972969</c:v>
                </c:pt>
                <c:pt idx="17">
                  <c:v>0.13280041115540694</c:v>
                </c:pt>
                <c:pt idx="18">
                  <c:v>0.14251417296413782</c:v>
                </c:pt>
                <c:pt idx="19">
                  <c:v>0.13280041115540694</c:v>
                </c:pt>
                <c:pt idx="20">
                  <c:v>5.938117490707636E-2</c:v>
                </c:pt>
                <c:pt idx="21">
                  <c:v>0.17194422263713457</c:v>
                </c:pt>
                <c:pt idx="22">
                  <c:v>0.23837527758694932</c:v>
                </c:pt>
                <c:pt idx="23">
                  <c:v>4.61536403897434E-2</c:v>
                </c:pt>
                <c:pt idx="24">
                  <c:v>9.1754845725837003E-2</c:v>
                </c:pt>
                <c:pt idx="25">
                  <c:v>0.13280041115540694</c:v>
                </c:pt>
                <c:pt idx="26">
                  <c:v>0.10827749622805304</c:v>
                </c:pt>
                <c:pt idx="27">
                  <c:v>0.14251417296413782</c:v>
                </c:pt>
                <c:pt idx="28">
                  <c:v>0.12497037320074438</c:v>
                </c:pt>
                <c:pt idx="29">
                  <c:v>0.10416018550631145</c:v>
                </c:pt>
                <c:pt idx="30">
                  <c:v>0.15501258709215021</c:v>
                </c:pt>
                <c:pt idx="31">
                  <c:v>0.19675490219808348</c:v>
                </c:pt>
                <c:pt idx="32">
                  <c:v>0.23837527758694932</c:v>
                </c:pt>
                <c:pt idx="33">
                  <c:v>7.2182939984973188E-2</c:v>
                </c:pt>
                <c:pt idx="34">
                  <c:v>0.13280041115540694</c:v>
                </c:pt>
                <c:pt idx="35">
                  <c:v>3.4418494995733621E-2</c:v>
                </c:pt>
                <c:pt idx="36">
                  <c:v>0.15501258709215021</c:v>
                </c:pt>
                <c:pt idx="37">
                  <c:v>0.23837527758694932</c:v>
                </c:pt>
                <c:pt idx="38">
                  <c:v>0.23837527758694932</c:v>
                </c:pt>
                <c:pt idx="39">
                  <c:v>6.826792100764191E-2</c:v>
                </c:pt>
                <c:pt idx="40">
                  <c:v>0.11848463802960284</c:v>
                </c:pt>
                <c:pt idx="41">
                  <c:v>7.8448032575583956E-2</c:v>
                </c:pt>
                <c:pt idx="42">
                  <c:v>0.33232297645972969</c:v>
                </c:pt>
                <c:pt idx="43">
                  <c:v>0.33232297645972969</c:v>
                </c:pt>
                <c:pt idx="44">
                  <c:v>6.7402183875605981E-2</c:v>
                </c:pt>
                <c:pt idx="45">
                  <c:v>7.3295279942387451E-2</c:v>
                </c:pt>
                <c:pt idx="46">
                  <c:v>7.0127509623341605E-2</c:v>
                </c:pt>
                <c:pt idx="47">
                  <c:v>0.33232297645972969</c:v>
                </c:pt>
                <c:pt idx="48">
                  <c:v>4.2720192056611983E-2</c:v>
                </c:pt>
                <c:pt idx="49">
                  <c:v>4.364121957905847E-2</c:v>
                </c:pt>
                <c:pt idx="50">
                  <c:v>5.4816402322227356E-2</c:v>
                </c:pt>
                <c:pt idx="51">
                  <c:v>0.33232297645972969</c:v>
                </c:pt>
                <c:pt idx="52">
                  <c:v>7.8448032575583956E-2</c:v>
                </c:pt>
                <c:pt idx="53">
                  <c:v>0.23837527758694932</c:v>
                </c:pt>
                <c:pt idx="54">
                  <c:v>0.33232297645972969</c:v>
                </c:pt>
                <c:pt idx="55">
                  <c:v>0.23837527758694932</c:v>
                </c:pt>
                <c:pt idx="56">
                  <c:v>0.12497037320074438</c:v>
                </c:pt>
                <c:pt idx="57">
                  <c:v>0.23837527758694932</c:v>
                </c:pt>
                <c:pt idx="58">
                  <c:v>9.7291518660526946E-2</c:v>
                </c:pt>
                <c:pt idx="59">
                  <c:v>0.12497037320074438</c:v>
                </c:pt>
                <c:pt idx="60">
                  <c:v>7.5716970343577494E-2</c:v>
                </c:pt>
                <c:pt idx="61">
                  <c:v>0.33232297645972969</c:v>
                </c:pt>
                <c:pt idx="62">
                  <c:v>6.0480530153880455E-2</c:v>
                </c:pt>
                <c:pt idx="63">
                  <c:v>9.7291518660526946E-2</c:v>
                </c:pt>
                <c:pt idx="64">
                  <c:v>0.15501258709215021</c:v>
                </c:pt>
                <c:pt idx="65">
                  <c:v>5.5624900955458703E-2</c:v>
                </c:pt>
                <c:pt idx="66">
                  <c:v>0.12497037320074438</c:v>
                </c:pt>
                <c:pt idx="67">
                  <c:v>8.5152287825453088E-2</c:v>
                </c:pt>
                <c:pt idx="68">
                  <c:v>0.23837527758694932</c:v>
                </c:pt>
                <c:pt idx="69">
                  <c:v>5.6480503790341641E-2</c:v>
                </c:pt>
                <c:pt idx="70">
                  <c:v>7.9951199220934188E-2</c:v>
                </c:pt>
                <c:pt idx="71">
                  <c:v>4.9367103609941093E-2</c:v>
                </c:pt>
                <c:pt idx="72">
                  <c:v>0.11848463802960284</c:v>
                </c:pt>
                <c:pt idx="73">
                  <c:v>0.12497037320074438</c:v>
                </c:pt>
                <c:pt idx="74">
                  <c:v>0.11848463802960284</c:v>
                </c:pt>
                <c:pt idx="75">
                  <c:v>0.15501258709215021</c:v>
                </c:pt>
                <c:pt idx="76">
                  <c:v>0.14251417296413782</c:v>
                </c:pt>
                <c:pt idx="77">
                  <c:v>0.23837527758694932</c:v>
                </c:pt>
                <c:pt idx="78">
                  <c:v>0.33232297645972969</c:v>
                </c:pt>
                <c:pt idx="79">
                  <c:v>4.990332379417213E-2</c:v>
                </c:pt>
                <c:pt idx="80">
                  <c:v>0.19675490219808348</c:v>
                </c:pt>
                <c:pt idx="81">
                  <c:v>0.23837527758694932</c:v>
                </c:pt>
                <c:pt idx="82">
                  <c:v>0.12497037320074438</c:v>
                </c:pt>
                <c:pt idx="83">
                  <c:v>8.7168738405342741E-2</c:v>
                </c:pt>
                <c:pt idx="84">
                  <c:v>0.14251417296413782</c:v>
                </c:pt>
                <c:pt idx="85">
                  <c:v>6.5783383279028884E-2</c:v>
                </c:pt>
                <c:pt idx="86">
                  <c:v>0.10052759503029066</c:v>
                </c:pt>
                <c:pt idx="87">
                  <c:v>5.0752235296665657E-2</c:v>
                </c:pt>
                <c:pt idx="88">
                  <c:v>3.8021102155045734E-2</c:v>
                </c:pt>
                <c:pt idx="89">
                  <c:v>0.17194422263713457</c:v>
                </c:pt>
                <c:pt idx="90">
                  <c:v>9.4384701166594101E-2</c:v>
                </c:pt>
                <c:pt idx="91">
                  <c:v>0.15501258709215021</c:v>
                </c:pt>
                <c:pt idx="92">
                  <c:v>8.5152287825453088E-2</c:v>
                </c:pt>
                <c:pt idx="93">
                  <c:v>0.11848463802960284</c:v>
                </c:pt>
                <c:pt idx="94">
                  <c:v>0.13280041115540694</c:v>
                </c:pt>
                <c:pt idx="95">
                  <c:v>5.0180135006070804E-2</c:v>
                </c:pt>
                <c:pt idx="96">
                  <c:v>0.19675490219808348</c:v>
                </c:pt>
                <c:pt idx="97">
                  <c:v>5.0463030115450724E-2</c:v>
                </c:pt>
                <c:pt idx="98">
                  <c:v>0.10416018550631145</c:v>
                </c:pt>
                <c:pt idx="99">
                  <c:v>5.8352759940090961E-2</c:v>
                </c:pt>
                <c:pt idx="100">
                  <c:v>0.12497037320074438</c:v>
                </c:pt>
                <c:pt idx="101">
                  <c:v>0.10416018550631145</c:v>
                </c:pt>
                <c:pt idx="102">
                  <c:v>9.1754845725837003E-2</c:v>
                </c:pt>
                <c:pt idx="103">
                  <c:v>7.3295279942387451E-2</c:v>
                </c:pt>
                <c:pt idx="104">
                  <c:v>3.299698127603632E-2</c:v>
                </c:pt>
                <c:pt idx="105">
                  <c:v>7.7039820889338625E-2</c:v>
                </c:pt>
                <c:pt idx="106">
                  <c:v>0.10827749622805304</c:v>
                </c:pt>
                <c:pt idx="107">
                  <c:v>5.2975084990566773E-2</c:v>
                </c:pt>
                <c:pt idx="108">
                  <c:v>6.165937543750212E-2</c:v>
                </c:pt>
                <c:pt idx="109">
                  <c:v>0.17194422263713457</c:v>
                </c:pt>
                <c:pt idx="110">
                  <c:v>0.19675490219808348</c:v>
                </c:pt>
                <c:pt idx="111">
                  <c:v>0.12497037320074438</c:v>
                </c:pt>
                <c:pt idx="112">
                  <c:v>6.2281683852423109E-2</c:v>
                </c:pt>
                <c:pt idx="113">
                  <c:v>0.11848463802960284</c:v>
                </c:pt>
                <c:pt idx="114">
                  <c:v>0.19675490219808348</c:v>
                </c:pt>
                <c:pt idx="115">
                  <c:v>6.1059426769683608E-2</c:v>
                </c:pt>
                <c:pt idx="116">
                  <c:v>3.602299948420995E-2</c:v>
                </c:pt>
                <c:pt idx="117">
                  <c:v>0.17194422263713457</c:v>
                </c:pt>
                <c:pt idx="118">
                  <c:v>7.7039820889338625E-2</c:v>
                </c:pt>
                <c:pt idx="119">
                  <c:v>7.9951199220934188E-2</c:v>
                </c:pt>
                <c:pt idx="120">
                  <c:v>0.23837527758694932</c:v>
                </c:pt>
                <c:pt idx="121">
                  <c:v>0.33232297645972969</c:v>
                </c:pt>
                <c:pt idx="122">
                  <c:v>7.0127509623341605E-2</c:v>
                </c:pt>
                <c:pt idx="123">
                  <c:v>0.13280041115540694</c:v>
                </c:pt>
                <c:pt idx="124">
                  <c:v>8.3289027953344821E-2</c:v>
                </c:pt>
                <c:pt idx="125">
                  <c:v>8.3289027953344821E-2</c:v>
                </c:pt>
                <c:pt idx="126">
                  <c:v>6.5025053422071141E-2</c:v>
                </c:pt>
                <c:pt idx="127">
                  <c:v>0.17194422263713457</c:v>
                </c:pt>
                <c:pt idx="128">
                  <c:v>0.12497037320074438</c:v>
                </c:pt>
                <c:pt idx="129">
                  <c:v>3.6312447792111527E-2</c:v>
                </c:pt>
                <c:pt idx="130">
                  <c:v>4.9107295481104124E-2</c:v>
                </c:pt>
                <c:pt idx="131">
                  <c:v>6.6574927549527027E-2</c:v>
                </c:pt>
                <c:pt idx="132">
                  <c:v>0.33232297645972969</c:v>
                </c:pt>
                <c:pt idx="133">
                  <c:v>7.9951199220934188E-2</c:v>
                </c:pt>
                <c:pt idx="134">
                  <c:v>6.5783383279028884E-2</c:v>
                </c:pt>
                <c:pt idx="135">
                  <c:v>3.5812457282712942E-2</c:v>
                </c:pt>
                <c:pt idx="136">
                  <c:v>0.11848463802960284</c:v>
                </c:pt>
                <c:pt idx="137">
                  <c:v>7.0127509623341605E-2</c:v>
                </c:pt>
                <c:pt idx="138">
                  <c:v>0.23837527758694932</c:v>
                </c:pt>
                <c:pt idx="139">
                  <c:v>5.1047988673400629E-2</c:v>
                </c:pt>
                <c:pt idx="140">
                  <c:v>5.8352759940090961E-2</c:v>
                </c:pt>
                <c:pt idx="141">
                  <c:v>8.1560495410228043E-2</c:v>
                </c:pt>
                <c:pt idx="142">
                  <c:v>7.5716970343577494E-2</c:v>
                </c:pt>
                <c:pt idx="143">
                  <c:v>3.3752729557720552E-2</c:v>
                </c:pt>
                <c:pt idx="144">
                  <c:v>7.8448032575583956E-2</c:v>
                </c:pt>
                <c:pt idx="145">
                  <c:v>6.1059426769683608E-2</c:v>
                </c:pt>
                <c:pt idx="146">
                  <c:v>8.9360591416362004E-2</c:v>
                </c:pt>
                <c:pt idx="147">
                  <c:v>5.8858583193115668E-2</c:v>
                </c:pt>
                <c:pt idx="148">
                  <c:v>3.6923576333481277E-2</c:v>
                </c:pt>
                <c:pt idx="149">
                  <c:v>5.4050838579298703E-2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B-4811-B006-83B66C105FEE}"/>
            </c:ext>
          </c:extLst>
        </c:ser>
        <c:ser>
          <c:idx val="2"/>
          <c:order val="2"/>
          <c:tx>
            <c:strRef>
              <c:f>'Kozmetik Hata'!$H$1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'Kozmetik Hata'!$B$2:$B$152</c:f>
              <c:numCache>
                <c:formatCode>m/d/yyyy</c:formatCode>
                <c:ptCount val="151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46034</c:v>
                </c:pt>
                <c:pt idx="5">
                  <c:v>46035</c:v>
                </c:pt>
                <c:pt idx="6">
                  <c:v>46036</c:v>
                </c:pt>
                <c:pt idx="7">
                  <c:v>46037</c:v>
                </c:pt>
                <c:pt idx="8">
                  <c:v>46038</c:v>
                </c:pt>
                <c:pt idx="9">
                  <c:v>46041</c:v>
                </c:pt>
                <c:pt idx="10">
                  <c:v>46043</c:v>
                </c:pt>
                <c:pt idx="11">
                  <c:v>46045</c:v>
                </c:pt>
                <c:pt idx="12">
                  <c:v>46048</c:v>
                </c:pt>
                <c:pt idx="13">
                  <c:v>46050</c:v>
                </c:pt>
                <c:pt idx="14">
                  <c:v>46052</c:v>
                </c:pt>
                <c:pt idx="15">
                  <c:v>46055</c:v>
                </c:pt>
                <c:pt idx="16">
                  <c:v>46056</c:v>
                </c:pt>
                <c:pt idx="17">
                  <c:v>46057</c:v>
                </c:pt>
                <c:pt idx="18">
                  <c:v>46058</c:v>
                </c:pt>
                <c:pt idx="19">
                  <c:v>46059</c:v>
                </c:pt>
                <c:pt idx="20">
                  <c:v>46062</c:v>
                </c:pt>
                <c:pt idx="21">
                  <c:v>46063</c:v>
                </c:pt>
                <c:pt idx="22">
                  <c:v>46064</c:v>
                </c:pt>
                <c:pt idx="23">
                  <c:v>46065</c:v>
                </c:pt>
                <c:pt idx="24">
                  <c:v>46066</c:v>
                </c:pt>
                <c:pt idx="25">
                  <c:v>46069</c:v>
                </c:pt>
                <c:pt idx="26">
                  <c:v>46070</c:v>
                </c:pt>
                <c:pt idx="27">
                  <c:v>46071</c:v>
                </c:pt>
                <c:pt idx="28">
                  <c:v>46072</c:v>
                </c:pt>
                <c:pt idx="29">
                  <c:v>46076</c:v>
                </c:pt>
                <c:pt idx="30">
                  <c:v>46077</c:v>
                </c:pt>
                <c:pt idx="31">
                  <c:v>46078</c:v>
                </c:pt>
                <c:pt idx="32">
                  <c:v>46079</c:v>
                </c:pt>
                <c:pt idx="33">
                  <c:v>46081</c:v>
                </c:pt>
                <c:pt idx="34">
                  <c:v>46083</c:v>
                </c:pt>
                <c:pt idx="35">
                  <c:v>46084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46101</c:v>
                </c:pt>
                <c:pt idx="48">
                  <c:v>46104</c:v>
                </c:pt>
                <c:pt idx="49">
                  <c:v>46105</c:v>
                </c:pt>
                <c:pt idx="50">
                  <c:v>46106</c:v>
                </c:pt>
                <c:pt idx="51">
                  <c:v>46107</c:v>
                </c:pt>
                <c:pt idx="52">
                  <c:v>46108</c:v>
                </c:pt>
                <c:pt idx="53">
                  <c:v>46111</c:v>
                </c:pt>
                <c:pt idx="54">
                  <c:v>46112</c:v>
                </c:pt>
                <c:pt idx="55">
                  <c:v>46113</c:v>
                </c:pt>
                <c:pt idx="56">
                  <c:v>46115</c:v>
                </c:pt>
                <c:pt idx="57">
                  <c:v>46118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46132</c:v>
                </c:pt>
                <c:pt idx="67">
                  <c:v>46133</c:v>
                </c:pt>
                <c:pt idx="68">
                  <c:v>46134</c:v>
                </c:pt>
                <c:pt idx="69">
                  <c:v>46136</c:v>
                </c:pt>
                <c:pt idx="70">
                  <c:v>46139</c:v>
                </c:pt>
                <c:pt idx="71">
                  <c:v>46140</c:v>
                </c:pt>
                <c:pt idx="72">
                  <c:v>46141</c:v>
                </c:pt>
                <c:pt idx="73">
                  <c:v>46142</c:v>
                </c:pt>
                <c:pt idx="74">
                  <c:v>46147</c:v>
                </c:pt>
                <c:pt idx="75">
                  <c:v>46148</c:v>
                </c:pt>
                <c:pt idx="76">
                  <c:v>46149</c:v>
                </c:pt>
                <c:pt idx="77">
                  <c:v>46150</c:v>
                </c:pt>
                <c:pt idx="78">
                  <c:v>46153</c:v>
                </c:pt>
                <c:pt idx="79">
                  <c:v>46156</c:v>
                </c:pt>
                <c:pt idx="80">
                  <c:v>46160</c:v>
                </c:pt>
                <c:pt idx="81">
                  <c:v>46163</c:v>
                </c:pt>
                <c:pt idx="82">
                  <c:v>46176</c:v>
                </c:pt>
                <c:pt idx="83">
                  <c:v>46177</c:v>
                </c:pt>
                <c:pt idx="84">
                  <c:v>46178</c:v>
                </c:pt>
                <c:pt idx="85">
                  <c:v>46181</c:v>
                </c:pt>
                <c:pt idx="86">
                  <c:v>46182</c:v>
                </c:pt>
                <c:pt idx="87">
                  <c:v>46183</c:v>
                </c:pt>
                <c:pt idx="88">
                  <c:v>46184</c:v>
                </c:pt>
                <c:pt idx="89">
                  <c:v>46185</c:v>
                </c:pt>
                <c:pt idx="90">
                  <c:v>46186</c:v>
                </c:pt>
                <c:pt idx="91">
                  <c:v>46188</c:v>
                </c:pt>
                <c:pt idx="92">
                  <c:v>46189</c:v>
                </c:pt>
                <c:pt idx="93">
                  <c:v>46190</c:v>
                </c:pt>
                <c:pt idx="94">
                  <c:v>46191</c:v>
                </c:pt>
                <c:pt idx="95">
                  <c:v>46192</c:v>
                </c:pt>
                <c:pt idx="96">
                  <c:v>46195</c:v>
                </c:pt>
                <c:pt idx="97">
                  <c:v>46196</c:v>
                </c:pt>
                <c:pt idx="98">
                  <c:v>46197</c:v>
                </c:pt>
                <c:pt idx="99">
                  <c:v>46198</c:v>
                </c:pt>
                <c:pt idx="100">
                  <c:v>46199</c:v>
                </c:pt>
                <c:pt idx="101">
                  <c:v>46203</c:v>
                </c:pt>
                <c:pt idx="102">
                  <c:v>46205</c:v>
                </c:pt>
                <c:pt idx="103">
                  <c:v>46206</c:v>
                </c:pt>
                <c:pt idx="104">
                  <c:v>46207</c:v>
                </c:pt>
                <c:pt idx="105">
                  <c:v>46209</c:v>
                </c:pt>
                <c:pt idx="106">
                  <c:v>46210</c:v>
                </c:pt>
                <c:pt idx="107">
                  <c:v>46211</c:v>
                </c:pt>
                <c:pt idx="108">
                  <c:v>46212</c:v>
                </c:pt>
                <c:pt idx="109">
                  <c:v>46213</c:v>
                </c:pt>
                <c:pt idx="110">
                  <c:v>46216</c:v>
                </c:pt>
                <c:pt idx="111">
                  <c:v>46217</c:v>
                </c:pt>
                <c:pt idx="112">
                  <c:v>46219</c:v>
                </c:pt>
                <c:pt idx="113">
                  <c:v>46220</c:v>
                </c:pt>
                <c:pt idx="114">
                  <c:v>46221</c:v>
                </c:pt>
                <c:pt idx="115">
                  <c:v>46223</c:v>
                </c:pt>
                <c:pt idx="116">
                  <c:v>46224</c:v>
                </c:pt>
                <c:pt idx="117">
                  <c:v>46225</c:v>
                </c:pt>
                <c:pt idx="118">
                  <c:v>46226</c:v>
                </c:pt>
                <c:pt idx="119">
                  <c:v>46227</c:v>
                </c:pt>
                <c:pt idx="120">
                  <c:v>46228</c:v>
                </c:pt>
                <c:pt idx="121">
                  <c:v>46229</c:v>
                </c:pt>
                <c:pt idx="122">
                  <c:v>46230</c:v>
                </c:pt>
                <c:pt idx="123">
                  <c:v>46231</c:v>
                </c:pt>
                <c:pt idx="124">
                  <c:v>46232</c:v>
                </c:pt>
                <c:pt idx="125">
                  <c:v>46233</c:v>
                </c:pt>
                <c:pt idx="126">
                  <c:v>46234</c:v>
                </c:pt>
                <c:pt idx="127">
                  <c:v>46237</c:v>
                </c:pt>
                <c:pt idx="128">
                  <c:v>46238</c:v>
                </c:pt>
                <c:pt idx="129">
                  <c:v>46239</c:v>
                </c:pt>
                <c:pt idx="130">
                  <c:v>46240</c:v>
                </c:pt>
                <c:pt idx="131">
                  <c:v>46241</c:v>
                </c:pt>
                <c:pt idx="132">
                  <c:v>46242</c:v>
                </c:pt>
                <c:pt idx="133">
                  <c:v>46244</c:v>
                </c:pt>
                <c:pt idx="134">
                  <c:v>46245</c:v>
                </c:pt>
                <c:pt idx="135">
                  <c:v>46246</c:v>
                </c:pt>
                <c:pt idx="136">
                  <c:v>46247</c:v>
                </c:pt>
                <c:pt idx="137">
                  <c:v>46248</c:v>
                </c:pt>
                <c:pt idx="138">
                  <c:v>46250</c:v>
                </c:pt>
                <c:pt idx="139">
                  <c:v>46251</c:v>
                </c:pt>
                <c:pt idx="140">
                  <c:v>46252</c:v>
                </c:pt>
                <c:pt idx="141">
                  <c:v>46253</c:v>
                </c:pt>
                <c:pt idx="142">
                  <c:v>46254</c:v>
                </c:pt>
                <c:pt idx="143">
                  <c:v>46255</c:v>
                </c:pt>
                <c:pt idx="144">
                  <c:v>46256</c:v>
                </c:pt>
                <c:pt idx="145">
                  <c:v>46258</c:v>
                </c:pt>
                <c:pt idx="146">
                  <c:v>46259</c:v>
                </c:pt>
                <c:pt idx="147">
                  <c:v>46260</c:v>
                </c:pt>
                <c:pt idx="148">
                  <c:v>46261</c:v>
                </c:pt>
                <c:pt idx="149">
                  <c:v>46262</c:v>
                </c:pt>
              </c:numCache>
            </c:numRef>
          </c:cat>
          <c:val>
            <c:numRef>
              <c:f>'Kozmetik Hata'!$H$2:$H$152</c:f>
              <c:numCache>
                <c:formatCode>General</c:formatCode>
                <c:ptCount val="15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FB-4811-B006-83B66C105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176096"/>
        <c:axId val="368481903"/>
      </c:lineChart>
      <c:dateAx>
        <c:axId val="1241760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481903"/>
        <c:crosses val="autoZero"/>
        <c:auto val="1"/>
        <c:lblOffset val="100"/>
        <c:baseTimeUnit val="days"/>
      </c:dateAx>
      <c:valAx>
        <c:axId val="368481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41760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Typesetting-Solder Error </a:t>
            </a:r>
            <a:r>
              <a:rPr lang="tr-TR"/>
              <a:t>P- Chart</a:t>
            </a:r>
            <a:endParaRPr lang="en-US"/>
          </a:p>
        </c:rich>
      </c:tx>
      <c:layout>
        <c:manualLayout>
          <c:xMode val="edge"/>
          <c:yMode val="edge"/>
          <c:x val="0.42413614635406799"/>
          <c:y val="4.0674309593628416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'Dizgi Lehim Hatası'!$D$1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'Dizgi Lehim Hatası'!$A$2:$A$151</c:f>
              <c:numCache>
                <c:formatCode>m/d/yyyy</c:formatCode>
                <c:ptCount val="15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46034</c:v>
                </c:pt>
                <c:pt idx="4">
                  <c:v>46035</c:v>
                </c:pt>
                <c:pt idx="5">
                  <c:v>46037</c:v>
                </c:pt>
                <c:pt idx="6">
                  <c:v>46038</c:v>
                </c:pt>
                <c:pt idx="7">
                  <c:v>46041</c:v>
                </c:pt>
                <c:pt idx="8">
                  <c:v>46043</c:v>
                </c:pt>
                <c:pt idx="9">
                  <c:v>46045</c:v>
                </c:pt>
                <c:pt idx="10">
                  <c:v>46048</c:v>
                </c:pt>
                <c:pt idx="11">
                  <c:v>46050</c:v>
                </c:pt>
                <c:pt idx="12">
                  <c:v>46052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46062</c:v>
                </c:pt>
                <c:pt idx="19">
                  <c:v>46063</c:v>
                </c:pt>
                <c:pt idx="20">
                  <c:v>46064</c:v>
                </c:pt>
                <c:pt idx="21">
                  <c:v>46065</c:v>
                </c:pt>
                <c:pt idx="22">
                  <c:v>46066</c:v>
                </c:pt>
                <c:pt idx="23">
                  <c:v>46067</c:v>
                </c:pt>
                <c:pt idx="24">
                  <c:v>46069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46076</c:v>
                </c:pt>
                <c:pt idx="29">
                  <c:v>46077</c:v>
                </c:pt>
                <c:pt idx="30">
                  <c:v>46078</c:v>
                </c:pt>
                <c:pt idx="31">
                  <c:v>46079</c:v>
                </c:pt>
                <c:pt idx="32">
                  <c:v>46080</c:v>
                </c:pt>
                <c:pt idx="33">
                  <c:v>46081</c:v>
                </c:pt>
                <c:pt idx="34">
                  <c:v>46083</c:v>
                </c:pt>
                <c:pt idx="35">
                  <c:v>46084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46101</c:v>
                </c:pt>
                <c:pt idx="48">
                  <c:v>46105</c:v>
                </c:pt>
                <c:pt idx="49">
                  <c:v>46106</c:v>
                </c:pt>
                <c:pt idx="50">
                  <c:v>46107</c:v>
                </c:pt>
                <c:pt idx="51">
                  <c:v>46108</c:v>
                </c:pt>
                <c:pt idx="52">
                  <c:v>46111</c:v>
                </c:pt>
                <c:pt idx="53">
                  <c:v>46112</c:v>
                </c:pt>
                <c:pt idx="54">
                  <c:v>46113</c:v>
                </c:pt>
                <c:pt idx="55">
                  <c:v>46115</c:v>
                </c:pt>
                <c:pt idx="56">
                  <c:v>46118</c:v>
                </c:pt>
                <c:pt idx="57">
                  <c:v>46119</c:v>
                </c:pt>
                <c:pt idx="58">
                  <c:v>46120</c:v>
                </c:pt>
                <c:pt idx="59">
                  <c:v>46121</c:v>
                </c:pt>
                <c:pt idx="60">
                  <c:v>46122</c:v>
                </c:pt>
                <c:pt idx="61">
                  <c:v>46125</c:v>
                </c:pt>
                <c:pt idx="62">
                  <c:v>46126</c:v>
                </c:pt>
                <c:pt idx="63">
                  <c:v>46127</c:v>
                </c:pt>
                <c:pt idx="64">
                  <c:v>46128</c:v>
                </c:pt>
                <c:pt idx="65">
                  <c:v>46132</c:v>
                </c:pt>
                <c:pt idx="66">
                  <c:v>46133</c:v>
                </c:pt>
                <c:pt idx="67">
                  <c:v>46134</c:v>
                </c:pt>
                <c:pt idx="68">
                  <c:v>46136</c:v>
                </c:pt>
                <c:pt idx="69">
                  <c:v>46139</c:v>
                </c:pt>
                <c:pt idx="70">
                  <c:v>46140</c:v>
                </c:pt>
                <c:pt idx="71">
                  <c:v>46141</c:v>
                </c:pt>
                <c:pt idx="72">
                  <c:v>46142</c:v>
                </c:pt>
                <c:pt idx="73">
                  <c:v>46147</c:v>
                </c:pt>
                <c:pt idx="74">
                  <c:v>46148</c:v>
                </c:pt>
                <c:pt idx="75">
                  <c:v>46149</c:v>
                </c:pt>
                <c:pt idx="76">
                  <c:v>46150</c:v>
                </c:pt>
                <c:pt idx="77">
                  <c:v>46153</c:v>
                </c:pt>
                <c:pt idx="78">
                  <c:v>46156</c:v>
                </c:pt>
                <c:pt idx="79">
                  <c:v>46160</c:v>
                </c:pt>
                <c:pt idx="80">
                  <c:v>46163</c:v>
                </c:pt>
                <c:pt idx="81">
                  <c:v>46176</c:v>
                </c:pt>
                <c:pt idx="82">
                  <c:v>46177</c:v>
                </c:pt>
                <c:pt idx="83">
                  <c:v>46178</c:v>
                </c:pt>
                <c:pt idx="84">
                  <c:v>46181</c:v>
                </c:pt>
                <c:pt idx="85">
                  <c:v>46182</c:v>
                </c:pt>
                <c:pt idx="86">
                  <c:v>46183</c:v>
                </c:pt>
                <c:pt idx="87">
                  <c:v>46184</c:v>
                </c:pt>
                <c:pt idx="88">
                  <c:v>46185</c:v>
                </c:pt>
                <c:pt idx="89">
                  <c:v>46186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46195</c:v>
                </c:pt>
                <c:pt idx="96">
                  <c:v>46196</c:v>
                </c:pt>
                <c:pt idx="97">
                  <c:v>46197</c:v>
                </c:pt>
                <c:pt idx="98">
                  <c:v>46198</c:v>
                </c:pt>
                <c:pt idx="99">
                  <c:v>46199</c:v>
                </c:pt>
                <c:pt idx="100">
                  <c:v>46203</c:v>
                </c:pt>
                <c:pt idx="101">
                  <c:v>46205</c:v>
                </c:pt>
                <c:pt idx="102">
                  <c:v>46206</c:v>
                </c:pt>
                <c:pt idx="103">
                  <c:v>46207</c:v>
                </c:pt>
                <c:pt idx="104">
                  <c:v>46209</c:v>
                </c:pt>
                <c:pt idx="105">
                  <c:v>46210</c:v>
                </c:pt>
                <c:pt idx="106">
                  <c:v>46211</c:v>
                </c:pt>
                <c:pt idx="107">
                  <c:v>46212</c:v>
                </c:pt>
                <c:pt idx="108">
                  <c:v>46213</c:v>
                </c:pt>
                <c:pt idx="109">
                  <c:v>46216</c:v>
                </c:pt>
                <c:pt idx="110">
                  <c:v>46217</c:v>
                </c:pt>
                <c:pt idx="111">
                  <c:v>46219</c:v>
                </c:pt>
                <c:pt idx="112">
                  <c:v>46220</c:v>
                </c:pt>
                <c:pt idx="113">
                  <c:v>46221</c:v>
                </c:pt>
                <c:pt idx="114">
                  <c:v>46223</c:v>
                </c:pt>
                <c:pt idx="115">
                  <c:v>46224</c:v>
                </c:pt>
                <c:pt idx="116">
                  <c:v>46225</c:v>
                </c:pt>
                <c:pt idx="117">
                  <c:v>46226</c:v>
                </c:pt>
                <c:pt idx="118">
                  <c:v>46227</c:v>
                </c:pt>
                <c:pt idx="119">
                  <c:v>46228</c:v>
                </c:pt>
                <c:pt idx="120">
                  <c:v>46229</c:v>
                </c:pt>
                <c:pt idx="121">
                  <c:v>46230</c:v>
                </c:pt>
                <c:pt idx="122">
                  <c:v>46231</c:v>
                </c:pt>
                <c:pt idx="123">
                  <c:v>46232</c:v>
                </c:pt>
                <c:pt idx="124">
                  <c:v>46233</c:v>
                </c:pt>
                <c:pt idx="125">
                  <c:v>46234</c:v>
                </c:pt>
                <c:pt idx="126">
                  <c:v>46237</c:v>
                </c:pt>
                <c:pt idx="127">
                  <c:v>46238</c:v>
                </c:pt>
                <c:pt idx="128">
                  <c:v>46239</c:v>
                </c:pt>
                <c:pt idx="129">
                  <c:v>46240</c:v>
                </c:pt>
                <c:pt idx="130">
                  <c:v>46241</c:v>
                </c:pt>
                <c:pt idx="131">
                  <c:v>46242</c:v>
                </c:pt>
                <c:pt idx="132">
                  <c:v>46244</c:v>
                </c:pt>
                <c:pt idx="133">
                  <c:v>46245</c:v>
                </c:pt>
                <c:pt idx="134">
                  <c:v>46246</c:v>
                </c:pt>
                <c:pt idx="135">
                  <c:v>46247</c:v>
                </c:pt>
                <c:pt idx="136">
                  <c:v>46248</c:v>
                </c:pt>
                <c:pt idx="137">
                  <c:v>46250</c:v>
                </c:pt>
                <c:pt idx="138">
                  <c:v>46251</c:v>
                </c:pt>
                <c:pt idx="139">
                  <c:v>46252</c:v>
                </c:pt>
                <c:pt idx="140">
                  <c:v>46253</c:v>
                </c:pt>
                <c:pt idx="141">
                  <c:v>46254</c:v>
                </c:pt>
                <c:pt idx="142">
                  <c:v>46255</c:v>
                </c:pt>
                <c:pt idx="143">
                  <c:v>46256</c:v>
                </c:pt>
                <c:pt idx="144">
                  <c:v>46258</c:v>
                </c:pt>
                <c:pt idx="145">
                  <c:v>46259</c:v>
                </c:pt>
                <c:pt idx="146">
                  <c:v>46260</c:v>
                </c:pt>
                <c:pt idx="147">
                  <c:v>46261</c:v>
                </c:pt>
                <c:pt idx="148">
                  <c:v>46262</c:v>
                </c:pt>
              </c:numCache>
            </c:numRef>
          </c:cat>
          <c:val>
            <c:numRef>
              <c:f>'Dizgi Lehim Hatası'!$D$2:$D$151</c:f>
              <c:numCache>
                <c:formatCode>General</c:formatCode>
                <c:ptCount val="150"/>
                <c:pt idx="0">
                  <c:v>0.2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0.2</c:v>
                </c:pt>
                <c:pt idx="7">
                  <c:v>0</c:v>
                </c:pt>
                <c:pt idx="8">
                  <c:v>0</c:v>
                </c:pt>
                <c:pt idx="9">
                  <c:v>0.1111111111111111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0.16666666666666666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0.10588235294117647</c:v>
                </c:pt>
                <c:pt idx="19">
                  <c:v>4.1666666666666664E-2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3.3980582524271843E-2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0.33333333333333331</c:v>
                </c:pt>
                <c:pt idx="90">
                  <c:v>0</c:v>
                </c:pt>
                <c:pt idx="91">
                  <c:v>4.7619047619047616E-2</c:v>
                </c:pt>
                <c:pt idx="92">
                  <c:v>0</c:v>
                </c:pt>
                <c:pt idx="93">
                  <c:v>0.1111111111111111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0.16666666666666666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8.1457663451232586E-3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B-472A-AA8D-CA02EBEF06DD}"/>
            </c:ext>
          </c:extLst>
        </c:ser>
        <c:ser>
          <c:idx val="1"/>
          <c:order val="1"/>
          <c:tx>
            <c:strRef>
              <c:f>'Dizgi Lehim Hatası'!$E$1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'Dizgi Lehim Hatası'!$A$2:$A$151</c:f>
              <c:numCache>
                <c:formatCode>m/d/yyyy</c:formatCode>
                <c:ptCount val="15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46034</c:v>
                </c:pt>
                <c:pt idx="4">
                  <c:v>46035</c:v>
                </c:pt>
                <c:pt idx="5">
                  <c:v>46037</c:v>
                </c:pt>
                <c:pt idx="6">
                  <c:v>46038</c:v>
                </c:pt>
                <c:pt idx="7">
                  <c:v>46041</c:v>
                </c:pt>
                <c:pt idx="8">
                  <c:v>46043</c:v>
                </c:pt>
                <c:pt idx="9">
                  <c:v>46045</c:v>
                </c:pt>
                <c:pt idx="10">
                  <c:v>46048</c:v>
                </c:pt>
                <c:pt idx="11">
                  <c:v>46050</c:v>
                </c:pt>
                <c:pt idx="12">
                  <c:v>46052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46062</c:v>
                </c:pt>
                <c:pt idx="19">
                  <c:v>46063</c:v>
                </c:pt>
                <c:pt idx="20">
                  <c:v>46064</c:v>
                </c:pt>
                <c:pt idx="21">
                  <c:v>46065</c:v>
                </c:pt>
                <c:pt idx="22">
                  <c:v>46066</c:v>
                </c:pt>
                <c:pt idx="23">
                  <c:v>46067</c:v>
                </c:pt>
                <c:pt idx="24">
                  <c:v>46069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46076</c:v>
                </c:pt>
                <c:pt idx="29">
                  <c:v>46077</c:v>
                </c:pt>
                <c:pt idx="30">
                  <c:v>46078</c:v>
                </c:pt>
                <c:pt idx="31">
                  <c:v>46079</c:v>
                </c:pt>
                <c:pt idx="32">
                  <c:v>46080</c:v>
                </c:pt>
                <c:pt idx="33">
                  <c:v>46081</c:v>
                </c:pt>
                <c:pt idx="34">
                  <c:v>46083</c:v>
                </c:pt>
                <c:pt idx="35">
                  <c:v>46084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46101</c:v>
                </c:pt>
                <c:pt idx="48">
                  <c:v>46105</c:v>
                </c:pt>
                <c:pt idx="49">
                  <c:v>46106</c:v>
                </c:pt>
                <c:pt idx="50">
                  <c:v>46107</c:v>
                </c:pt>
                <c:pt idx="51">
                  <c:v>46108</c:v>
                </c:pt>
                <c:pt idx="52">
                  <c:v>46111</c:v>
                </c:pt>
                <c:pt idx="53">
                  <c:v>46112</c:v>
                </c:pt>
                <c:pt idx="54">
                  <c:v>46113</c:v>
                </c:pt>
                <c:pt idx="55">
                  <c:v>46115</c:v>
                </c:pt>
                <c:pt idx="56">
                  <c:v>46118</c:v>
                </c:pt>
                <c:pt idx="57">
                  <c:v>46119</c:v>
                </c:pt>
                <c:pt idx="58">
                  <c:v>46120</c:v>
                </c:pt>
                <c:pt idx="59">
                  <c:v>46121</c:v>
                </c:pt>
                <c:pt idx="60">
                  <c:v>46122</c:v>
                </c:pt>
                <c:pt idx="61">
                  <c:v>46125</c:v>
                </c:pt>
                <c:pt idx="62">
                  <c:v>46126</c:v>
                </c:pt>
                <c:pt idx="63">
                  <c:v>46127</c:v>
                </c:pt>
                <c:pt idx="64">
                  <c:v>46128</c:v>
                </c:pt>
                <c:pt idx="65">
                  <c:v>46132</c:v>
                </c:pt>
                <c:pt idx="66">
                  <c:v>46133</c:v>
                </c:pt>
                <c:pt idx="67">
                  <c:v>46134</c:v>
                </c:pt>
                <c:pt idx="68">
                  <c:v>46136</c:v>
                </c:pt>
                <c:pt idx="69">
                  <c:v>46139</c:v>
                </c:pt>
                <c:pt idx="70">
                  <c:v>46140</c:v>
                </c:pt>
                <c:pt idx="71">
                  <c:v>46141</c:v>
                </c:pt>
                <c:pt idx="72">
                  <c:v>46142</c:v>
                </c:pt>
                <c:pt idx="73">
                  <c:v>46147</c:v>
                </c:pt>
                <c:pt idx="74">
                  <c:v>46148</c:v>
                </c:pt>
                <c:pt idx="75">
                  <c:v>46149</c:v>
                </c:pt>
                <c:pt idx="76">
                  <c:v>46150</c:v>
                </c:pt>
                <c:pt idx="77">
                  <c:v>46153</c:v>
                </c:pt>
                <c:pt idx="78">
                  <c:v>46156</c:v>
                </c:pt>
                <c:pt idx="79">
                  <c:v>46160</c:v>
                </c:pt>
                <c:pt idx="80">
                  <c:v>46163</c:v>
                </c:pt>
                <c:pt idx="81">
                  <c:v>46176</c:v>
                </c:pt>
                <c:pt idx="82">
                  <c:v>46177</c:v>
                </c:pt>
                <c:pt idx="83">
                  <c:v>46178</c:v>
                </c:pt>
                <c:pt idx="84">
                  <c:v>46181</c:v>
                </c:pt>
                <c:pt idx="85">
                  <c:v>46182</c:v>
                </c:pt>
                <c:pt idx="86">
                  <c:v>46183</c:v>
                </c:pt>
                <c:pt idx="87">
                  <c:v>46184</c:v>
                </c:pt>
                <c:pt idx="88">
                  <c:v>46185</c:v>
                </c:pt>
                <c:pt idx="89">
                  <c:v>46186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46195</c:v>
                </c:pt>
                <c:pt idx="96">
                  <c:v>46196</c:v>
                </c:pt>
                <c:pt idx="97">
                  <c:v>46197</c:v>
                </c:pt>
                <c:pt idx="98">
                  <c:v>46198</c:v>
                </c:pt>
                <c:pt idx="99">
                  <c:v>46199</c:v>
                </c:pt>
                <c:pt idx="100">
                  <c:v>46203</c:v>
                </c:pt>
                <c:pt idx="101">
                  <c:v>46205</c:v>
                </c:pt>
                <c:pt idx="102">
                  <c:v>46206</c:v>
                </c:pt>
                <c:pt idx="103">
                  <c:v>46207</c:v>
                </c:pt>
                <c:pt idx="104">
                  <c:v>46209</c:v>
                </c:pt>
                <c:pt idx="105">
                  <c:v>46210</c:v>
                </c:pt>
                <c:pt idx="106">
                  <c:v>46211</c:v>
                </c:pt>
                <c:pt idx="107">
                  <c:v>46212</c:v>
                </c:pt>
                <c:pt idx="108">
                  <c:v>46213</c:v>
                </c:pt>
                <c:pt idx="109">
                  <c:v>46216</c:v>
                </c:pt>
                <c:pt idx="110">
                  <c:v>46217</c:v>
                </c:pt>
                <c:pt idx="111">
                  <c:v>46219</c:v>
                </c:pt>
                <c:pt idx="112">
                  <c:v>46220</c:v>
                </c:pt>
                <c:pt idx="113">
                  <c:v>46221</c:v>
                </c:pt>
                <c:pt idx="114">
                  <c:v>46223</c:v>
                </c:pt>
                <c:pt idx="115">
                  <c:v>46224</c:v>
                </c:pt>
                <c:pt idx="116">
                  <c:v>46225</c:v>
                </c:pt>
                <c:pt idx="117">
                  <c:v>46226</c:v>
                </c:pt>
                <c:pt idx="118">
                  <c:v>46227</c:v>
                </c:pt>
                <c:pt idx="119">
                  <c:v>46228</c:v>
                </c:pt>
                <c:pt idx="120">
                  <c:v>46229</c:v>
                </c:pt>
                <c:pt idx="121">
                  <c:v>46230</c:v>
                </c:pt>
                <c:pt idx="122">
                  <c:v>46231</c:v>
                </c:pt>
                <c:pt idx="123">
                  <c:v>46232</c:v>
                </c:pt>
                <c:pt idx="124">
                  <c:v>46233</c:v>
                </c:pt>
                <c:pt idx="125">
                  <c:v>46234</c:v>
                </c:pt>
                <c:pt idx="126">
                  <c:v>46237</c:v>
                </c:pt>
                <c:pt idx="127">
                  <c:v>46238</c:v>
                </c:pt>
                <c:pt idx="128">
                  <c:v>46239</c:v>
                </c:pt>
                <c:pt idx="129">
                  <c:v>46240</c:v>
                </c:pt>
                <c:pt idx="130">
                  <c:v>46241</c:v>
                </c:pt>
                <c:pt idx="131">
                  <c:v>46242</c:v>
                </c:pt>
                <c:pt idx="132">
                  <c:v>46244</c:v>
                </c:pt>
                <c:pt idx="133">
                  <c:v>46245</c:v>
                </c:pt>
                <c:pt idx="134">
                  <c:v>46246</c:v>
                </c:pt>
                <c:pt idx="135">
                  <c:v>46247</c:v>
                </c:pt>
                <c:pt idx="136">
                  <c:v>46248</c:v>
                </c:pt>
                <c:pt idx="137">
                  <c:v>46250</c:v>
                </c:pt>
                <c:pt idx="138">
                  <c:v>46251</c:v>
                </c:pt>
                <c:pt idx="139">
                  <c:v>46252</c:v>
                </c:pt>
                <c:pt idx="140">
                  <c:v>46253</c:v>
                </c:pt>
                <c:pt idx="141">
                  <c:v>46254</c:v>
                </c:pt>
                <c:pt idx="142">
                  <c:v>46255</c:v>
                </c:pt>
                <c:pt idx="143">
                  <c:v>46256</c:v>
                </c:pt>
                <c:pt idx="144">
                  <c:v>46258</c:v>
                </c:pt>
                <c:pt idx="145">
                  <c:v>46259</c:v>
                </c:pt>
                <c:pt idx="146">
                  <c:v>46260</c:v>
                </c:pt>
                <c:pt idx="147">
                  <c:v>46261</c:v>
                </c:pt>
                <c:pt idx="148">
                  <c:v>46262</c:v>
                </c:pt>
              </c:numCache>
            </c:numRef>
          </c:cat>
          <c:val>
            <c:numRef>
              <c:f>'Dizgi Lehim Hatası'!$E$2:$E$151</c:f>
              <c:numCache>
                <c:formatCode>General</c:formatCode>
                <c:ptCount val="150"/>
                <c:pt idx="0">
                  <c:v>0.12873989184215173</c:v>
                </c:pt>
                <c:pt idx="1">
                  <c:v>5.4391502403566674E-2</c:v>
                </c:pt>
                <c:pt idx="2">
                  <c:v>0.27780242864361954</c:v>
                </c:pt>
                <c:pt idx="3">
                  <c:v>0.27780242864361954</c:v>
                </c:pt>
                <c:pt idx="4">
                  <c:v>3.810761771162284E-2</c:v>
                </c:pt>
                <c:pt idx="5">
                  <c:v>0.11823263774067558</c:v>
                </c:pt>
                <c:pt idx="6">
                  <c:v>0.12873989184215173</c:v>
                </c:pt>
                <c:pt idx="7">
                  <c:v>8.5988939628529673E-2</c:v>
                </c:pt>
                <c:pt idx="8">
                  <c:v>2.3315138752929898E-2</c:v>
                </c:pt>
                <c:pt idx="9">
                  <c:v>9.8031320444622011E-2</c:v>
                </c:pt>
                <c:pt idx="10">
                  <c:v>0.19882182084852079</c:v>
                </c:pt>
                <c:pt idx="11">
                  <c:v>2.6979404585660859E-2</c:v>
                </c:pt>
                <c:pt idx="12">
                  <c:v>0.11823263774067558</c:v>
                </c:pt>
                <c:pt idx="13">
                  <c:v>0.11823263774067558</c:v>
                </c:pt>
                <c:pt idx="14">
                  <c:v>0.27780242864361954</c:v>
                </c:pt>
                <c:pt idx="15">
                  <c:v>0.11006640460420154</c:v>
                </c:pt>
                <c:pt idx="16">
                  <c:v>0.11823263774067558</c:v>
                </c:pt>
                <c:pt idx="17">
                  <c:v>0.11006640460420154</c:v>
                </c:pt>
                <c:pt idx="18">
                  <c:v>3.7394137948255038E-2</c:v>
                </c:pt>
                <c:pt idx="19">
                  <c:v>6.318920204289942E-2</c:v>
                </c:pt>
                <c:pt idx="20">
                  <c:v>0.19882182084852079</c:v>
                </c:pt>
                <c:pt idx="21">
                  <c:v>3.7223592053553189E-2</c:v>
                </c:pt>
                <c:pt idx="22">
                  <c:v>7.5559931919747331E-2</c:v>
                </c:pt>
                <c:pt idx="23">
                  <c:v>0.27780242864361954</c:v>
                </c:pt>
                <c:pt idx="24">
                  <c:v>0.11006640460420154</c:v>
                </c:pt>
                <c:pt idx="25">
                  <c:v>8.9450309169094799E-2</c:v>
                </c:pt>
                <c:pt idx="26">
                  <c:v>0.11823263774067558</c:v>
                </c:pt>
                <c:pt idx="27">
                  <c:v>0.10348379359682203</c:v>
                </c:pt>
                <c:pt idx="28">
                  <c:v>8.5988939628529673E-2</c:v>
                </c:pt>
                <c:pt idx="29">
                  <c:v>0.12873989184215173</c:v>
                </c:pt>
                <c:pt idx="30">
                  <c:v>0.16383211291193608</c:v>
                </c:pt>
                <c:pt idx="31">
                  <c:v>0.19882182084852079</c:v>
                </c:pt>
                <c:pt idx="32">
                  <c:v>0.27780242864361954</c:v>
                </c:pt>
                <c:pt idx="33">
                  <c:v>5.9106085474662395E-2</c:v>
                </c:pt>
                <c:pt idx="34">
                  <c:v>0.19882182084852079</c:v>
                </c:pt>
                <c:pt idx="35">
                  <c:v>2.6933636259828069E-2</c:v>
                </c:pt>
                <c:pt idx="36">
                  <c:v>0.12873989184215173</c:v>
                </c:pt>
                <c:pt idx="37">
                  <c:v>0.19882182084852079</c:v>
                </c:pt>
                <c:pt idx="38">
                  <c:v>0.19882182084852079</c:v>
                </c:pt>
                <c:pt idx="39">
                  <c:v>0.19882182084852079</c:v>
                </c:pt>
                <c:pt idx="40">
                  <c:v>9.8031320444622011E-2</c:v>
                </c:pt>
                <c:pt idx="41">
                  <c:v>6.4373067280880686E-2</c:v>
                </c:pt>
                <c:pt idx="42">
                  <c:v>0.27780242864361954</c:v>
                </c:pt>
                <c:pt idx="43">
                  <c:v>0.27780242864361954</c:v>
                </c:pt>
                <c:pt idx="44">
                  <c:v>5.5086966030882686E-2</c:v>
                </c:pt>
                <c:pt idx="45">
                  <c:v>7.3547113480900414E-2</c:v>
                </c:pt>
                <c:pt idx="46">
                  <c:v>5.7378111919269684E-2</c:v>
                </c:pt>
                <c:pt idx="47">
                  <c:v>0.27780242864361954</c:v>
                </c:pt>
                <c:pt idx="48">
                  <c:v>3.5111432574972887E-2</c:v>
                </c:pt>
                <c:pt idx="49">
                  <c:v>4.4506263271911872E-2</c:v>
                </c:pt>
                <c:pt idx="50">
                  <c:v>0.27780242864361954</c:v>
                </c:pt>
                <c:pt idx="51">
                  <c:v>6.4373067280880686E-2</c:v>
                </c:pt>
                <c:pt idx="52">
                  <c:v>0.19882182084852079</c:v>
                </c:pt>
                <c:pt idx="53">
                  <c:v>0.27780242864361954</c:v>
                </c:pt>
                <c:pt idx="54">
                  <c:v>0.19882182084852079</c:v>
                </c:pt>
                <c:pt idx="55">
                  <c:v>0.10348379359682203</c:v>
                </c:pt>
                <c:pt idx="56">
                  <c:v>0.19882182084852079</c:v>
                </c:pt>
                <c:pt idx="57">
                  <c:v>8.021454080097859E-2</c:v>
                </c:pt>
                <c:pt idx="58">
                  <c:v>0.10348379359682203</c:v>
                </c:pt>
                <c:pt idx="59">
                  <c:v>6.2077098804822511E-2</c:v>
                </c:pt>
                <c:pt idx="60">
                  <c:v>0.27780242864361954</c:v>
                </c:pt>
                <c:pt idx="61">
                  <c:v>4.9268021826305908E-2</c:v>
                </c:pt>
                <c:pt idx="62">
                  <c:v>8.021454080097859E-2</c:v>
                </c:pt>
                <c:pt idx="63">
                  <c:v>0.12873989184215173</c:v>
                </c:pt>
                <c:pt idx="64">
                  <c:v>4.5185957550965897E-2</c:v>
                </c:pt>
                <c:pt idx="65">
                  <c:v>0.10348379359682203</c:v>
                </c:pt>
                <c:pt idx="66">
                  <c:v>7.0009247419419024E-2</c:v>
                </c:pt>
                <c:pt idx="67">
                  <c:v>0.19882182084852079</c:v>
                </c:pt>
                <c:pt idx="68">
                  <c:v>4.5905251719328355E-2</c:v>
                </c:pt>
                <c:pt idx="69">
                  <c:v>6.563675991722559E-2</c:v>
                </c:pt>
                <c:pt idx="70">
                  <c:v>3.9925108762356179E-2</c:v>
                </c:pt>
                <c:pt idx="71">
                  <c:v>9.8031320444622011E-2</c:v>
                </c:pt>
                <c:pt idx="72">
                  <c:v>0.10348379359682203</c:v>
                </c:pt>
                <c:pt idx="73">
                  <c:v>0.27780242864361954</c:v>
                </c:pt>
                <c:pt idx="74">
                  <c:v>0.12873989184215173</c:v>
                </c:pt>
                <c:pt idx="75">
                  <c:v>0.11823263774067558</c:v>
                </c:pt>
                <c:pt idx="76">
                  <c:v>0.19882182084852079</c:v>
                </c:pt>
                <c:pt idx="77">
                  <c:v>0.27780242864361954</c:v>
                </c:pt>
                <c:pt idx="78">
                  <c:v>4.0375902092801855E-2</c:v>
                </c:pt>
                <c:pt idx="79">
                  <c:v>0.16383211291193608</c:v>
                </c:pt>
                <c:pt idx="80">
                  <c:v>0.19882182084852079</c:v>
                </c:pt>
                <c:pt idx="81">
                  <c:v>0.10348379359682203</c:v>
                </c:pt>
                <c:pt idx="82">
                  <c:v>7.170445117958911E-2</c:v>
                </c:pt>
                <c:pt idx="83">
                  <c:v>0.11823263774067558</c:v>
                </c:pt>
                <c:pt idx="84">
                  <c:v>5.3726061436616235E-2</c:v>
                </c:pt>
                <c:pt idx="85">
                  <c:v>8.2935068090331368E-2</c:v>
                </c:pt>
                <c:pt idx="86">
                  <c:v>4.1089570945106388E-2</c:v>
                </c:pt>
                <c:pt idx="87">
                  <c:v>3.038667299752509E-2</c:v>
                </c:pt>
                <c:pt idx="88">
                  <c:v>0.1429740974943714</c:v>
                </c:pt>
                <c:pt idx="89">
                  <c:v>7.7770817163520162E-2</c:v>
                </c:pt>
                <c:pt idx="90">
                  <c:v>0.12873989184215173</c:v>
                </c:pt>
                <c:pt idx="91">
                  <c:v>6.6989674279980579E-2</c:v>
                </c:pt>
                <c:pt idx="92">
                  <c:v>9.8031320444622011E-2</c:v>
                </c:pt>
                <c:pt idx="93">
                  <c:v>9.8031320444622011E-2</c:v>
                </c:pt>
                <c:pt idx="94">
                  <c:v>5.7378111919269684E-2</c:v>
                </c:pt>
                <c:pt idx="95">
                  <c:v>0.16383211291193608</c:v>
                </c:pt>
                <c:pt idx="96">
                  <c:v>4.0846439913011831E-2</c:v>
                </c:pt>
                <c:pt idx="97">
                  <c:v>4.9754692677377768E-2</c:v>
                </c:pt>
                <c:pt idx="98">
                  <c:v>4.7479233098644033E-2</c:v>
                </c:pt>
                <c:pt idx="99">
                  <c:v>0.16383211291193608</c:v>
                </c:pt>
                <c:pt idx="100">
                  <c:v>8.5988939628529673E-2</c:v>
                </c:pt>
                <c:pt idx="101">
                  <c:v>7.5559931919747331E-2</c:v>
                </c:pt>
                <c:pt idx="102">
                  <c:v>6.0041215200727541E-2</c:v>
                </c:pt>
                <c:pt idx="103">
                  <c:v>2.6162959959087091E-2</c:v>
                </c:pt>
                <c:pt idx="104">
                  <c:v>6.318920204289942E-2</c:v>
                </c:pt>
                <c:pt idx="105">
                  <c:v>8.9450309169094799E-2</c:v>
                </c:pt>
                <c:pt idx="106">
                  <c:v>4.2958291754321712E-2</c:v>
                </c:pt>
                <c:pt idx="107">
                  <c:v>5.0259061714604869E-2</c:v>
                </c:pt>
                <c:pt idx="108">
                  <c:v>0.1429740974943714</c:v>
                </c:pt>
                <c:pt idx="109">
                  <c:v>0.16383211291193608</c:v>
                </c:pt>
                <c:pt idx="110">
                  <c:v>0.10348379359682203</c:v>
                </c:pt>
                <c:pt idx="111">
                  <c:v>5.0782228300228438E-2</c:v>
                </c:pt>
                <c:pt idx="112">
                  <c:v>9.8031320444622011E-2</c:v>
                </c:pt>
                <c:pt idx="113">
                  <c:v>0.16383211291193608</c:v>
                </c:pt>
                <c:pt idx="114">
                  <c:v>4.9754692677377768E-2</c:v>
                </c:pt>
                <c:pt idx="115">
                  <c:v>2.8706894085714585E-2</c:v>
                </c:pt>
                <c:pt idx="116">
                  <c:v>0.1429740974943714</c:v>
                </c:pt>
                <c:pt idx="117">
                  <c:v>6.318920204289942E-2</c:v>
                </c:pt>
                <c:pt idx="118">
                  <c:v>6.563675991722559E-2</c:v>
                </c:pt>
                <c:pt idx="119">
                  <c:v>0.19882182084852079</c:v>
                </c:pt>
                <c:pt idx="120">
                  <c:v>0.27780242864361954</c:v>
                </c:pt>
                <c:pt idx="121">
                  <c:v>5.7378111919269684E-2</c:v>
                </c:pt>
                <c:pt idx="122">
                  <c:v>0.11006640460420154</c:v>
                </c:pt>
                <c:pt idx="123">
                  <c:v>6.8442829093637497E-2</c:v>
                </c:pt>
                <c:pt idx="124">
                  <c:v>6.8442829093637497E-2</c:v>
                </c:pt>
                <c:pt idx="125">
                  <c:v>5.3088543394872637E-2</c:v>
                </c:pt>
                <c:pt idx="126">
                  <c:v>0.1429740974943714</c:v>
                </c:pt>
                <c:pt idx="127">
                  <c:v>0.10348379359682203</c:v>
                </c:pt>
                <c:pt idx="128">
                  <c:v>2.8950229511250512E-2</c:v>
                </c:pt>
                <c:pt idx="129">
                  <c:v>3.9706691449618831E-2</c:v>
                </c:pt>
                <c:pt idx="130">
                  <c:v>5.4391502403566674E-2</c:v>
                </c:pt>
                <c:pt idx="131">
                  <c:v>0.27780242864361954</c:v>
                </c:pt>
                <c:pt idx="132">
                  <c:v>6.563675991722559E-2</c:v>
                </c:pt>
                <c:pt idx="133">
                  <c:v>5.3726061436616235E-2</c:v>
                </c:pt>
                <c:pt idx="134">
                  <c:v>2.8529893996938917E-2</c:v>
                </c:pt>
                <c:pt idx="135">
                  <c:v>9.8031320444622011E-2</c:v>
                </c:pt>
                <c:pt idx="136">
                  <c:v>5.7378111919269684E-2</c:v>
                </c:pt>
                <c:pt idx="137">
                  <c:v>0.19882182084852079</c:v>
                </c:pt>
                <c:pt idx="138">
                  <c:v>4.133820695995559E-2</c:v>
                </c:pt>
                <c:pt idx="139">
                  <c:v>4.7479233098644033E-2</c:v>
                </c:pt>
                <c:pt idx="140">
                  <c:v>6.6989674279980579E-2</c:v>
                </c:pt>
                <c:pt idx="141">
                  <c:v>6.2077098804822511E-2</c:v>
                </c:pt>
                <c:pt idx="142">
                  <c:v>2.6798307704095206E-2</c:v>
                </c:pt>
                <c:pt idx="143">
                  <c:v>6.4373067280880686E-2</c:v>
                </c:pt>
                <c:pt idx="144">
                  <c:v>4.9754692677377768E-2</c:v>
                </c:pt>
                <c:pt idx="145">
                  <c:v>7.3547113480900414E-2</c:v>
                </c:pt>
                <c:pt idx="146">
                  <c:v>4.7904472124614045E-2</c:v>
                </c:pt>
                <c:pt idx="147">
                  <c:v>2.9463997322675847E-2</c:v>
                </c:pt>
                <c:pt idx="148">
                  <c:v>4.386266379637524E-2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B-472A-AA8D-CA02EBEF06DD}"/>
            </c:ext>
          </c:extLst>
        </c:ser>
        <c:ser>
          <c:idx val="2"/>
          <c:order val="2"/>
          <c:tx>
            <c:strRef>
              <c:f>'Dizgi Lehim Hatası'!$F$1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'Dizgi Lehim Hatası'!$A$2:$A$151</c:f>
              <c:numCache>
                <c:formatCode>m/d/yyyy</c:formatCode>
                <c:ptCount val="15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46034</c:v>
                </c:pt>
                <c:pt idx="4">
                  <c:v>46035</c:v>
                </c:pt>
                <c:pt idx="5">
                  <c:v>46037</c:v>
                </c:pt>
                <c:pt idx="6">
                  <c:v>46038</c:v>
                </c:pt>
                <c:pt idx="7">
                  <c:v>46041</c:v>
                </c:pt>
                <c:pt idx="8">
                  <c:v>46043</c:v>
                </c:pt>
                <c:pt idx="9">
                  <c:v>46045</c:v>
                </c:pt>
                <c:pt idx="10">
                  <c:v>46048</c:v>
                </c:pt>
                <c:pt idx="11">
                  <c:v>46050</c:v>
                </c:pt>
                <c:pt idx="12">
                  <c:v>46052</c:v>
                </c:pt>
                <c:pt idx="13">
                  <c:v>46055</c:v>
                </c:pt>
                <c:pt idx="14">
                  <c:v>46056</c:v>
                </c:pt>
                <c:pt idx="15">
                  <c:v>46057</c:v>
                </c:pt>
                <c:pt idx="16">
                  <c:v>46058</c:v>
                </c:pt>
                <c:pt idx="17">
                  <c:v>46059</c:v>
                </c:pt>
                <c:pt idx="18">
                  <c:v>46062</c:v>
                </c:pt>
                <c:pt idx="19">
                  <c:v>46063</c:v>
                </c:pt>
                <c:pt idx="20">
                  <c:v>46064</c:v>
                </c:pt>
                <c:pt idx="21">
                  <c:v>46065</c:v>
                </c:pt>
                <c:pt idx="22">
                  <c:v>46066</c:v>
                </c:pt>
                <c:pt idx="23">
                  <c:v>46067</c:v>
                </c:pt>
                <c:pt idx="24">
                  <c:v>46069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46076</c:v>
                </c:pt>
                <c:pt idx="29">
                  <c:v>46077</c:v>
                </c:pt>
                <c:pt idx="30">
                  <c:v>46078</c:v>
                </c:pt>
                <c:pt idx="31">
                  <c:v>46079</c:v>
                </c:pt>
                <c:pt idx="32">
                  <c:v>46080</c:v>
                </c:pt>
                <c:pt idx="33">
                  <c:v>46081</c:v>
                </c:pt>
                <c:pt idx="34">
                  <c:v>46083</c:v>
                </c:pt>
                <c:pt idx="35">
                  <c:v>46084</c:v>
                </c:pt>
                <c:pt idx="36">
                  <c:v>46086</c:v>
                </c:pt>
                <c:pt idx="37">
                  <c:v>46087</c:v>
                </c:pt>
                <c:pt idx="38">
                  <c:v>46090</c:v>
                </c:pt>
                <c:pt idx="39">
                  <c:v>46091</c:v>
                </c:pt>
                <c:pt idx="40">
                  <c:v>46092</c:v>
                </c:pt>
                <c:pt idx="41">
                  <c:v>46093</c:v>
                </c:pt>
                <c:pt idx="42">
                  <c:v>46094</c:v>
                </c:pt>
                <c:pt idx="43">
                  <c:v>46096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46101</c:v>
                </c:pt>
                <c:pt idx="48">
                  <c:v>46105</c:v>
                </c:pt>
                <c:pt idx="49">
                  <c:v>46106</c:v>
                </c:pt>
                <c:pt idx="50">
                  <c:v>46107</c:v>
                </c:pt>
                <c:pt idx="51">
                  <c:v>46108</c:v>
                </c:pt>
                <c:pt idx="52">
                  <c:v>46111</c:v>
                </c:pt>
                <c:pt idx="53">
                  <c:v>46112</c:v>
                </c:pt>
                <c:pt idx="54">
                  <c:v>46113</c:v>
                </c:pt>
                <c:pt idx="55">
                  <c:v>46115</c:v>
                </c:pt>
                <c:pt idx="56">
                  <c:v>46118</c:v>
                </c:pt>
                <c:pt idx="57">
                  <c:v>46119</c:v>
                </c:pt>
                <c:pt idx="58">
                  <c:v>46120</c:v>
                </c:pt>
                <c:pt idx="59">
                  <c:v>46121</c:v>
                </c:pt>
                <c:pt idx="60">
                  <c:v>46122</c:v>
                </c:pt>
                <c:pt idx="61">
                  <c:v>46125</c:v>
                </c:pt>
                <c:pt idx="62">
                  <c:v>46126</c:v>
                </c:pt>
                <c:pt idx="63">
                  <c:v>46127</c:v>
                </c:pt>
                <c:pt idx="64">
                  <c:v>46128</c:v>
                </c:pt>
                <c:pt idx="65">
                  <c:v>46132</c:v>
                </c:pt>
                <c:pt idx="66">
                  <c:v>46133</c:v>
                </c:pt>
                <c:pt idx="67">
                  <c:v>46134</c:v>
                </c:pt>
                <c:pt idx="68">
                  <c:v>46136</c:v>
                </c:pt>
                <c:pt idx="69">
                  <c:v>46139</c:v>
                </c:pt>
                <c:pt idx="70">
                  <c:v>46140</c:v>
                </c:pt>
                <c:pt idx="71">
                  <c:v>46141</c:v>
                </c:pt>
                <c:pt idx="72">
                  <c:v>46142</c:v>
                </c:pt>
                <c:pt idx="73">
                  <c:v>46147</c:v>
                </c:pt>
                <c:pt idx="74">
                  <c:v>46148</c:v>
                </c:pt>
                <c:pt idx="75">
                  <c:v>46149</c:v>
                </c:pt>
                <c:pt idx="76">
                  <c:v>46150</c:v>
                </c:pt>
                <c:pt idx="77">
                  <c:v>46153</c:v>
                </c:pt>
                <c:pt idx="78">
                  <c:v>46156</c:v>
                </c:pt>
                <c:pt idx="79">
                  <c:v>46160</c:v>
                </c:pt>
                <c:pt idx="80">
                  <c:v>46163</c:v>
                </c:pt>
                <c:pt idx="81">
                  <c:v>46176</c:v>
                </c:pt>
                <c:pt idx="82">
                  <c:v>46177</c:v>
                </c:pt>
                <c:pt idx="83">
                  <c:v>46178</c:v>
                </c:pt>
                <c:pt idx="84">
                  <c:v>46181</c:v>
                </c:pt>
                <c:pt idx="85">
                  <c:v>46182</c:v>
                </c:pt>
                <c:pt idx="86">
                  <c:v>46183</c:v>
                </c:pt>
                <c:pt idx="87">
                  <c:v>46184</c:v>
                </c:pt>
                <c:pt idx="88">
                  <c:v>46185</c:v>
                </c:pt>
                <c:pt idx="89">
                  <c:v>46186</c:v>
                </c:pt>
                <c:pt idx="90">
                  <c:v>46188</c:v>
                </c:pt>
                <c:pt idx="91">
                  <c:v>46189</c:v>
                </c:pt>
                <c:pt idx="92">
                  <c:v>46190</c:v>
                </c:pt>
                <c:pt idx="93">
                  <c:v>46191</c:v>
                </c:pt>
                <c:pt idx="94">
                  <c:v>46192</c:v>
                </c:pt>
                <c:pt idx="95">
                  <c:v>46195</c:v>
                </c:pt>
                <c:pt idx="96">
                  <c:v>46196</c:v>
                </c:pt>
                <c:pt idx="97">
                  <c:v>46197</c:v>
                </c:pt>
                <c:pt idx="98">
                  <c:v>46198</c:v>
                </c:pt>
                <c:pt idx="99">
                  <c:v>46199</c:v>
                </c:pt>
                <c:pt idx="100">
                  <c:v>46203</c:v>
                </c:pt>
                <c:pt idx="101">
                  <c:v>46205</c:v>
                </c:pt>
                <c:pt idx="102">
                  <c:v>46206</c:v>
                </c:pt>
                <c:pt idx="103">
                  <c:v>46207</c:v>
                </c:pt>
                <c:pt idx="104">
                  <c:v>46209</c:v>
                </c:pt>
                <c:pt idx="105">
                  <c:v>46210</c:v>
                </c:pt>
                <c:pt idx="106">
                  <c:v>46211</c:v>
                </c:pt>
                <c:pt idx="107">
                  <c:v>46212</c:v>
                </c:pt>
                <c:pt idx="108">
                  <c:v>46213</c:v>
                </c:pt>
                <c:pt idx="109">
                  <c:v>46216</c:v>
                </c:pt>
                <c:pt idx="110">
                  <c:v>46217</c:v>
                </c:pt>
                <c:pt idx="111">
                  <c:v>46219</c:v>
                </c:pt>
                <c:pt idx="112">
                  <c:v>46220</c:v>
                </c:pt>
                <c:pt idx="113">
                  <c:v>46221</c:v>
                </c:pt>
                <c:pt idx="114">
                  <c:v>46223</c:v>
                </c:pt>
                <c:pt idx="115">
                  <c:v>46224</c:v>
                </c:pt>
                <c:pt idx="116">
                  <c:v>46225</c:v>
                </c:pt>
                <c:pt idx="117">
                  <c:v>46226</c:v>
                </c:pt>
                <c:pt idx="118">
                  <c:v>46227</c:v>
                </c:pt>
                <c:pt idx="119">
                  <c:v>46228</c:v>
                </c:pt>
                <c:pt idx="120">
                  <c:v>46229</c:v>
                </c:pt>
                <c:pt idx="121">
                  <c:v>46230</c:v>
                </c:pt>
                <c:pt idx="122">
                  <c:v>46231</c:v>
                </c:pt>
                <c:pt idx="123">
                  <c:v>46232</c:v>
                </c:pt>
                <c:pt idx="124">
                  <c:v>46233</c:v>
                </c:pt>
                <c:pt idx="125">
                  <c:v>46234</c:v>
                </c:pt>
                <c:pt idx="126">
                  <c:v>46237</c:v>
                </c:pt>
                <c:pt idx="127">
                  <c:v>46238</c:v>
                </c:pt>
                <c:pt idx="128">
                  <c:v>46239</c:v>
                </c:pt>
                <c:pt idx="129">
                  <c:v>46240</c:v>
                </c:pt>
                <c:pt idx="130">
                  <c:v>46241</c:v>
                </c:pt>
                <c:pt idx="131">
                  <c:v>46242</c:v>
                </c:pt>
                <c:pt idx="132">
                  <c:v>46244</c:v>
                </c:pt>
                <c:pt idx="133">
                  <c:v>46245</c:v>
                </c:pt>
                <c:pt idx="134">
                  <c:v>46246</c:v>
                </c:pt>
                <c:pt idx="135">
                  <c:v>46247</c:v>
                </c:pt>
                <c:pt idx="136">
                  <c:v>46248</c:v>
                </c:pt>
                <c:pt idx="137">
                  <c:v>46250</c:v>
                </c:pt>
                <c:pt idx="138">
                  <c:v>46251</c:v>
                </c:pt>
                <c:pt idx="139">
                  <c:v>46252</c:v>
                </c:pt>
                <c:pt idx="140">
                  <c:v>46253</c:v>
                </c:pt>
                <c:pt idx="141">
                  <c:v>46254</c:v>
                </c:pt>
                <c:pt idx="142">
                  <c:v>46255</c:v>
                </c:pt>
                <c:pt idx="143">
                  <c:v>46256</c:v>
                </c:pt>
                <c:pt idx="144">
                  <c:v>46258</c:v>
                </c:pt>
                <c:pt idx="145">
                  <c:v>46259</c:v>
                </c:pt>
                <c:pt idx="146">
                  <c:v>46260</c:v>
                </c:pt>
                <c:pt idx="147">
                  <c:v>46261</c:v>
                </c:pt>
                <c:pt idx="148">
                  <c:v>46262</c:v>
                </c:pt>
              </c:numCache>
            </c:numRef>
          </c:cat>
          <c:val>
            <c:numRef>
              <c:f>'Dizgi Lehim Hatası'!$F$2:$F$151</c:f>
              <c:numCache>
                <c:formatCode>General</c:formatCode>
                <c:ptCount val="1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2B-472A-AA8D-CA02EBEF06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052672"/>
        <c:axId val="368529903"/>
      </c:lineChart>
      <c:dateAx>
        <c:axId val="12405267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529903"/>
        <c:crosses val="autoZero"/>
        <c:auto val="1"/>
        <c:lblOffset val="100"/>
        <c:baseTimeUnit val="days"/>
      </c:dateAx>
      <c:valAx>
        <c:axId val="36852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2405267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Software SW Error </a:t>
            </a:r>
            <a:r>
              <a:rPr lang="tr-TR" baseline="0"/>
              <a:t>P chart</a:t>
            </a:r>
            <a:endParaRPr lang="tr-TR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1372003499562559"/>
          <c:y val="2.5428331875182269E-2"/>
          <c:w val="0.84985258092738403"/>
          <c:h val="0.51052311169437159"/>
        </c:manualLayout>
      </c:layout>
      <c:lineChart>
        <c:grouping val="standard"/>
        <c:varyColors val="0"/>
        <c:ser>
          <c:idx val="0"/>
          <c:order val="0"/>
          <c:tx>
            <c:strRef>
              <c:f>'Yazılım SW Hatası'!$D$1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'Yazılım SW Hatası'!$A$2:$A$148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'Yazılım SW Hatası'!$D$2:$D$148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6.3291139240506328E-3</c:v>
                </c:pt>
                <c:pt idx="8">
                  <c:v>2.5000000000000001E-3</c:v>
                </c:pt>
                <c:pt idx="9">
                  <c:v>0</c:v>
                </c:pt>
                <c:pt idx="10">
                  <c:v>4.8780487804878049E-3</c:v>
                </c:pt>
                <c:pt idx="11">
                  <c:v>5.0000000000000001E-3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1.1627906976744186E-2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7.5187969924812026E-3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7.4999999999999997E-3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6.8027210884353739E-3</c:v>
                </c:pt>
                <c:pt idx="85">
                  <c:v>0</c:v>
                </c:pt>
                <c:pt idx="86">
                  <c:v>6.6666666666666671E-3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8.9285714285714281E-3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1.1627906976744186E-2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1.7857142857142856E-2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1.1428571428571429E-2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1.4354066985645933E-2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1.2500000000000001E-2</c:v>
                </c:pt>
                <c:pt idx="145">
                  <c:v>0</c:v>
                </c:pt>
                <c:pt idx="146">
                  <c:v>5.0581689428426911E-3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6-47A6-84F6-7F420BF31DC4}"/>
            </c:ext>
          </c:extLst>
        </c:ser>
        <c:ser>
          <c:idx val="1"/>
          <c:order val="1"/>
          <c:tx>
            <c:strRef>
              <c:f>'Yazılım SW Hatası'!$E$1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'Yazılım SW Hatası'!$A$2:$A$148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'Yazılım SW Hatası'!$E$2:$E$148</c:f>
              <c:numCache>
                <c:formatCode>General</c:formatCode>
                <c:ptCount val="147"/>
                <c:pt idx="0">
                  <c:v>0.15554613329231345</c:v>
                </c:pt>
                <c:pt idx="1">
                  <c:v>4.1556861436786982E-2</c:v>
                </c:pt>
                <c:pt idx="2">
                  <c:v>0.2178802890997831</c:v>
                </c:pt>
                <c:pt idx="3">
                  <c:v>2.870507118250273E-2</c:v>
                </c:pt>
                <c:pt idx="4">
                  <c:v>9.1942435669808448E-2</c:v>
                </c:pt>
                <c:pt idx="5">
                  <c:v>0.10023511450015209</c:v>
                </c:pt>
                <c:pt idx="6">
                  <c:v>6.6494623123900906E-2</c:v>
                </c:pt>
                <c:pt idx="7">
                  <c:v>1.7030348564742597E-2</c:v>
                </c:pt>
                <c:pt idx="8">
                  <c:v>1.569927495068971E-2</c:v>
                </c:pt>
                <c:pt idx="9">
                  <c:v>0.15554613329231345</c:v>
                </c:pt>
                <c:pt idx="10">
                  <c:v>1.9922310575594751E-2</c:v>
                </c:pt>
                <c:pt idx="11">
                  <c:v>2.0106965377789769E-2</c:v>
                </c:pt>
                <c:pt idx="12">
                  <c:v>0.15554613329231345</c:v>
                </c:pt>
                <c:pt idx="13">
                  <c:v>0.2178802890997831</c:v>
                </c:pt>
                <c:pt idx="14">
                  <c:v>8.54973694326671E-2</c:v>
                </c:pt>
                <c:pt idx="15">
                  <c:v>9.1942435669808448E-2</c:v>
                </c:pt>
                <c:pt idx="16">
                  <c:v>8.54973694326671E-2</c:v>
                </c:pt>
                <c:pt idx="17">
                  <c:v>4.7622592974230771E-2</c:v>
                </c:pt>
                <c:pt idx="18">
                  <c:v>0.1114692290213129</c:v>
                </c:pt>
                <c:pt idx="19">
                  <c:v>0.15554613329231345</c:v>
                </c:pt>
                <c:pt idx="20">
                  <c:v>2.8007368358400963E-2</c:v>
                </c:pt>
                <c:pt idx="21">
                  <c:v>5.8263698982077797E-2</c:v>
                </c:pt>
                <c:pt idx="22">
                  <c:v>8.54973694326671E-2</c:v>
                </c:pt>
                <c:pt idx="23">
                  <c:v>6.9226452547252154E-2</c:v>
                </c:pt>
                <c:pt idx="24">
                  <c:v>9.1942435669808448E-2</c:v>
                </c:pt>
                <c:pt idx="25">
                  <c:v>8.0302151117578074E-2</c:v>
                </c:pt>
                <c:pt idx="26">
                  <c:v>6.6494623123900906E-2</c:v>
                </c:pt>
                <c:pt idx="27">
                  <c:v>0.10023511450015209</c:v>
                </c:pt>
                <c:pt idx="28">
                  <c:v>0.12793107730495912</c:v>
                </c:pt>
                <c:pt idx="29">
                  <c:v>0.15554613329231345</c:v>
                </c:pt>
                <c:pt idx="30">
                  <c:v>4.527776918775489E-2</c:v>
                </c:pt>
                <c:pt idx="31">
                  <c:v>0.15554613329231345</c:v>
                </c:pt>
                <c:pt idx="32">
                  <c:v>2.351218715517701E-2</c:v>
                </c:pt>
                <c:pt idx="33">
                  <c:v>0.10023511450015209</c:v>
                </c:pt>
                <c:pt idx="34">
                  <c:v>0.15554613329231345</c:v>
                </c:pt>
                <c:pt idx="35">
                  <c:v>0.15554613329231345</c:v>
                </c:pt>
                <c:pt idx="36">
                  <c:v>0.15554613329231345</c:v>
                </c:pt>
                <c:pt idx="37">
                  <c:v>7.5998875661822826E-2</c:v>
                </c:pt>
                <c:pt idx="38">
                  <c:v>4.9434648625751476E-2</c:v>
                </c:pt>
                <c:pt idx="39">
                  <c:v>0.2178802890997831</c:v>
                </c:pt>
                <c:pt idx="40">
                  <c:v>0.2178802890997831</c:v>
                </c:pt>
                <c:pt idx="41">
                  <c:v>4.2105744755284752E-2</c:v>
                </c:pt>
                <c:pt idx="42">
                  <c:v>5.6675114876663782E-2</c:v>
                </c:pt>
                <c:pt idx="43">
                  <c:v>4.3913994258186415E-2</c:v>
                </c:pt>
                <c:pt idx="44">
                  <c:v>0.2178802890997831</c:v>
                </c:pt>
                <c:pt idx="45">
                  <c:v>2.6340380958536729E-2</c:v>
                </c:pt>
                <c:pt idx="46">
                  <c:v>3.3755097770631654E-2</c:v>
                </c:pt>
                <c:pt idx="47">
                  <c:v>0.2178802890997831</c:v>
                </c:pt>
                <c:pt idx="48">
                  <c:v>4.9434648625751476E-2</c:v>
                </c:pt>
                <c:pt idx="49">
                  <c:v>0.15554613329231345</c:v>
                </c:pt>
                <c:pt idx="50">
                  <c:v>1.569927495068971E-2</c:v>
                </c:pt>
                <c:pt idx="51">
                  <c:v>0.15554613329231345</c:v>
                </c:pt>
                <c:pt idx="52">
                  <c:v>8.0302151117578074E-2</c:v>
                </c:pt>
                <c:pt idx="53">
                  <c:v>0.15554613329231345</c:v>
                </c:pt>
                <c:pt idx="54">
                  <c:v>6.1937273082421793E-2</c:v>
                </c:pt>
                <c:pt idx="55">
                  <c:v>8.0302151117578074E-2</c:v>
                </c:pt>
                <c:pt idx="56">
                  <c:v>4.7622592974230771E-2</c:v>
                </c:pt>
                <c:pt idx="57">
                  <c:v>0.2178802890997831</c:v>
                </c:pt>
                <c:pt idx="58">
                  <c:v>3.7513238001929905E-2</c:v>
                </c:pt>
                <c:pt idx="59">
                  <c:v>6.1937273082421793E-2</c:v>
                </c:pt>
                <c:pt idx="60">
                  <c:v>0.10023511450015209</c:v>
                </c:pt>
                <c:pt idx="61">
                  <c:v>3.4291535388355679E-2</c:v>
                </c:pt>
                <c:pt idx="62">
                  <c:v>8.0302151117578074E-2</c:v>
                </c:pt>
                <c:pt idx="63">
                  <c:v>5.3882911822536045E-2</c:v>
                </c:pt>
                <c:pt idx="64">
                  <c:v>0.15554613329231345</c:v>
                </c:pt>
                <c:pt idx="65">
                  <c:v>3.485922657248066E-2</c:v>
                </c:pt>
                <c:pt idx="66">
                  <c:v>5.0431997416622187E-2</c:v>
                </c:pt>
                <c:pt idx="67">
                  <c:v>2.9632750615265976E-2</c:v>
                </c:pt>
                <c:pt idx="68">
                  <c:v>2.0106965377789769E-2</c:v>
                </c:pt>
                <c:pt idx="69">
                  <c:v>8.0302151117578074E-2</c:v>
                </c:pt>
                <c:pt idx="70">
                  <c:v>0.2178802890997831</c:v>
                </c:pt>
                <c:pt idx="71">
                  <c:v>0.10023511450015209</c:v>
                </c:pt>
                <c:pt idx="72">
                  <c:v>9.1942435669808448E-2</c:v>
                </c:pt>
                <c:pt idx="73">
                  <c:v>0.15554613329231345</c:v>
                </c:pt>
                <c:pt idx="74">
                  <c:v>0.2178802890997831</c:v>
                </c:pt>
                <c:pt idx="75">
                  <c:v>3.0495277613920402E-2</c:v>
                </c:pt>
                <c:pt idx="76">
                  <c:v>0.12793107730495912</c:v>
                </c:pt>
                <c:pt idx="77">
                  <c:v>0.15554613329231345</c:v>
                </c:pt>
                <c:pt idx="78">
                  <c:v>8.0302151117578074E-2</c:v>
                </c:pt>
                <c:pt idx="79">
                  <c:v>5.5220823725999624E-2</c:v>
                </c:pt>
                <c:pt idx="80">
                  <c:v>9.1942435669808448E-2</c:v>
                </c:pt>
                <c:pt idx="81">
                  <c:v>4.1031673013039047E-2</c:v>
                </c:pt>
                <c:pt idx="82">
                  <c:v>6.408440484890475E-2</c:v>
                </c:pt>
                <c:pt idx="83">
                  <c:v>3.1058529109146926E-2</c:v>
                </c:pt>
                <c:pt idx="84">
                  <c:v>2.2611441566002179E-2</c:v>
                </c:pt>
                <c:pt idx="85">
                  <c:v>0.1114692290213129</c:v>
                </c:pt>
                <c:pt idx="86">
                  <c:v>1.7345459779054336E-2</c:v>
                </c:pt>
                <c:pt idx="87">
                  <c:v>0.10023511450015209</c:v>
                </c:pt>
                <c:pt idx="88">
                  <c:v>5.3882911822536045E-2</c:v>
                </c:pt>
                <c:pt idx="89">
                  <c:v>7.5998875661822826E-2</c:v>
                </c:pt>
                <c:pt idx="90">
                  <c:v>8.54973694326671E-2</c:v>
                </c:pt>
                <c:pt idx="91">
                  <c:v>4.3913994258186415E-2</c:v>
                </c:pt>
                <c:pt idx="92">
                  <c:v>0.12793107730495912</c:v>
                </c:pt>
                <c:pt idx="93">
                  <c:v>3.0866641909753238E-2</c:v>
                </c:pt>
                <c:pt idx="94">
                  <c:v>6.6494623123900906E-2</c:v>
                </c:pt>
                <c:pt idx="95">
                  <c:v>3.61014656900987E-2</c:v>
                </c:pt>
                <c:pt idx="96">
                  <c:v>0.12793107730495912</c:v>
                </c:pt>
                <c:pt idx="97">
                  <c:v>6.6494623123900906E-2</c:v>
                </c:pt>
                <c:pt idx="98">
                  <c:v>5.8263698982077797E-2</c:v>
                </c:pt>
                <c:pt idx="99">
                  <c:v>4.601580506354816E-2</c:v>
                </c:pt>
                <c:pt idx="100">
                  <c:v>1.9277944977737466E-2</c:v>
                </c:pt>
                <c:pt idx="101">
                  <c:v>4.8500302306325571E-2</c:v>
                </c:pt>
                <c:pt idx="102">
                  <c:v>6.9226452547252154E-2</c:v>
                </c:pt>
                <c:pt idx="103">
                  <c:v>3.2533386511922155E-2</c:v>
                </c:pt>
                <c:pt idx="104">
                  <c:v>3.8295400060861004E-2</c:v>
                </c:pt>
                <c:pt idx="105">
                  <c:v>0.1114692290213129</c:v>
                </c:pt>
                <c:pt idx="106">
                  <c:v>0.12793107730495912</c:v>
                </c:pt>
                <c:pt idx="107">
                  <c:v>8.0302151117578074E-2</c:v>
                </c:pt>
                <c:pt idx="108">
                  <c:v>3.8708300750940852E-2</c:v>
                </c:pt>
                <c:pt idx="109">
                  <c:v>7.5998875661822826E-2</c:v>
                </c:pt>
                <c:pt idx="110">
                  <c:v>0.12793107730495912</c:v>
                </c:pt>
                <c:pt idx="111">
                  <c:v>3.789733502909344E-2</c:v>
                </c:pt>
                <c:pt idx="112">
                  <c:v>2.12857034723863E-2</c:v>
                </c:pt>
                <c:pt idx="113">
                  <c:v>0.1114692290213129</c:v>
                </c:pt>
                <c:pt idx="114">
                  <c:v>4.8500302306325571E-2</c:v>
                </c:pt>
                <c:pt idx="115">
                  <c:v>5.0431997416622187E-2</c:v>
                </c:pt>
                <c:pt idx="116">
                  <c:v>0.15554613329231345</c:v>
                </c:pt>
                <c:pt idx="117">
                  <c:v>0.2178802890997831</c:v>
                </c:pt>
                <c:pt idx="118">
                  <c:v>4.3913994258186415E-2</c:v>
                </c:pt>
                <c:pt idx="119">
                  <c:v>8.54973694326671E-2</c:v>
                </c:pt>
                <c:pt idx="120">
                  <c:v>5.2646641721497384E-2</c:v>
                </c:pt>
                <c:pt idx="121">
                  <c:v>5.2646641721497384E-2</c:v>
                </c:pt>
                <c:pt idx="122">
                  <c:v>4.0528522302332753E-2</c:v>
                </c:pt>
                <c:pt idx="123">
                  <c:v>0.1114692290213129</c:v>
                </c:pt>
                <c:pt idx="124">
                  <c:v>8.0302151117578074E-2</c:v>
                </c:pt>
                <c:pt idx="125">
                  <c:v>2.1477751985968064E-2</c:v>
                </c:pt>
                <c:pt idx="126">
                  <c:v>2.9967114034723737E-2</c:v>
                </c:pt>
                <c:pt idx="127">
                  <c:v>4.1556861436786982E-2</c:v>
                </c:pt>
                <c:pt idx="128">
                  <c:v>0.2178802890997831</c:v>
                </c:pt>
                <c:pt idx="129">
                  <c:v>5.0431997416622187E-2</c:v>
                </c:pt>
                <c:pt idx="130">
                  <c:v>4.1031673013039047E-2</c:v>
                </c:pt>
                <c:pt idx="131">
                  <c:v>2.1146009040807573E-2</c:v>
                </c:pt>
                <c:pt idx="132">
                  <c:v>7.5998875661822826E-2</c:v>
                </c:pt>
                <c:pt idx="133">
                  <c:v>4.3913994258186415E-2</c:v>
                </c:pt>
                <c:pt idx="134">
                  <c:v>0.15554613329231345</c:v>
                </c:pt>
                <c:pt idx="135">
                  <c:v>3.1254761026343184E-2</c:v>
                </c:pt>
                <c:pt idx="136">
                  <c:v>3.61014656900987E-2</c:v>
                </c:pt>
                <c:pt idx="137">
                  <c:v>5.149976299904109E-2</c:v>
                </c:pt>
                <c:pt idx="138">
                  <c:v>4.7622592974230771E-2</c:v>
                </c:pt>
                <c:pt idx="139">
                  <c:v>1.9779382817162624E-2</c:v>
                </c:pt>
                <c:pt idx="140">
                  <c:v>4.9434648625751476E-2</c:v>
                </c:pt>
                <c:pt idx="141">
                  <c:v>3.789733502909344E-2</c:v>
                </c:pt>
                <c:pt idx="142">
                  <c:v>5.6675114876663782E-2</c:v>
                </c:pt>
                <c:pt idx="143">
                  <c:v>3.6437078651814545E-2</c:v>
                </c:pt>
                <c:pt idx="144">
                  <c:v>2.188323484689177E-2</c:v>
                </c:pt>
                <c:pt idx="145">
                  <c:v>3.3247147387547915E-2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56-47A6-84F6-7F420BF31DC4}"/>
            </c:ext>
          </c:extLst>
        </c:ser>
        <c:ser>
          <c:idx val="2"/>
          <c:order val="2"/>
          <c:tx>
            <c:strRef>
              <c:f>'Yazılım SW Hatası'!$F$1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'Yazılım SW Hatası'!$A$2:$A$148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'Yazılım SW Hatası'!$F$2:$F$148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6-47A6-84F6-7F420BF31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3944239"/>
        <c:axId val="368387343"/>
      </c:lineChart>
      <c:catAx>
        <c:axId val="161394423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387343"/>
        <c:crosses val="autoZero"/>
        <c:auto val="0"/>
        <c:lblAlgn val="ctr"/>
        <c:lblOffset val="100"/>
        <c:noMultiLvlLbl val="0"/>
      </c:catAx>
      <c:valAx>
        <c:axId val="36838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1394423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Electronic-Function Error</a:t>
            </a:r>
            <a:r>
              <a:rPr lang="tr-TR" sz="1400" b="0" i="0" u="none" strike="noStrike" baseline="0">
                <a:effectLst/>
              </a:rPr>
              <a:t> p- chart</a:t>
            </a:r>
            <a:endParaRPr lang="tr-TR"/>
          </a:p>
        </c:rich>
      </c:tx>
      <c:layout>
        <c:manualLayout>
          <c:xMode val="edge"/>
          <c:yMode val="edge"/>
          <c:x val="0.37249049460733169"/>
          <c:y val="2.1249830238396883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'Elektronik- Fonksiyon Hatası '!$D$1</c:f>
              <c:strCache>
                <c:ptCount val="1"/>
                <c:pt idx="0">
                  <c:v>P BAR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strRef>
              <c:f>'Elektronik- Fonksiyon Hatası '!$A$2:$A$148</c:f>
              <c:strCache>
                <c:ptCount val="147"/>
                <c:pt idx="0">
                  <c:v>7.01.2026</c:v>
                </c:pt>
                <c:pt idx="1">
                  <c:v>8.01.2026</c:v>
                </c:pt>
                <c:pt idx="2">
                  <c:v>9.01.2026</c:v>
                </c:pt>
                <c:pt idx="3">
                  <c:v>13.01.2026</c:v>
                </c:pt>
                <c:pt idx="4">
                  <c:v>15.01.2026</c:v>
                </c:pt>
                <c:pt idx="5">
                  <c:v>16.01.2026</c:v>
                </c:pt>
                <c:pt idx="6">
                  <c:v>19.01.2026</c:v>
                </c:pt>
                <c:pt idx="7">
                  <c:v>21.01.2026</c:v>
                </c:pt>
                <c:pt idx="8">
                  <c:v>23.01.2026</c:v>
                </c:pt>
                <c:pt idx="9">
                  <c:v>26.01.2026</c:v>
                </c:pt>
                <c:pt idx="10">
                  <c:v>28.01.2026</c:v>
                </c:pt>
                <c:pt idx="11">
                  <c:v>30.01.2026</c:v>
                </c:pt>
                <c:pt idx="12">
                  <c:v>2.02.2026</c:v>
                </c:pt>
                <c:pt idx="13">
                  <c:v>3.02.2026</c:v>
                </c:pt>
                <c:pt idx="14">
                  <c:v>4.02.2026</c:v>
                </c:pt>
                <c:pt idx="15">
                  <c:v>5.02.2026</c:v>
                </c:pt>
                <c:pt idx="16">
                  <c:v>6.02.2026</c:v>
                </c:pt>
                <c:pt idx="17">
                  <c:v>9.02.2026</c:v>
                </c:pt>
                <c:pt idx="18">
                  <c:v>10.02.2026</c:v>
                </c:pt>
                <c:pt idx="19">
                  <c:v>11.02.2026</c:v>
                </c:pt>
                <c:pt idx="20">
                  <c:v>12.02.2026</c:v>
                </c:pt>
                <c:pt idx="21">
                  <c:v>13.02.2026</c:v>
                </c:pt>
                <c:pt idx="22">
                  <c:v>16.02.2026</c:v>
                </c:pt>
                <c:pt idx="23">
                  <c:v>17.02.2026</c:v>
                </c:pt>
                <c:pt idx="24">
                  <c:v>18.02.2026</c:v>
                </c:pt>
                <c:pt idx="25">
                  <c:v>19.02.2026</c:v>
                </c:pt>
                <c:pt idx="26">
                  <c:v>23.02.2026</c:v>
                </c:pt>
                <c:pt idx="27">
                  <c:v>24.02.2026</c:v>
                </c:pt>
                <c:pt idx="28">
                  <c:v>25.02.2026</c:v>
                </c:pt>
                <c:pt idx="29">
                  <c:v>26.02.2026</c:v>
                </c:pt>
                <c:pt idx="30">
                  <c:v>28.02.2026</c:v>
                </c:pt>
                <c:pt idx="31">
                  <c:v>2.03.2026</c:v>
                </c:pt>
                <c:pt idx="32">
                  <c:v>3.03.2026</c:v>
                </c:pt>
                <c:pt idx="33">
                  <c:v>5.03.2026</c:v>
                </c:pt>
                <c:pt idx="34">
                  <c:v>6.03.2026</c:v>
                </c:pt>
                <c:pt idx="35">
                  <c:v>9.03.2026</c:v>
                </c:pt>
                <c:pt idx="36">
                  <c:v>10.03.2026</c:v>
                </c:pt>
                <c:pt idx="37">
                  <c:v>11.03.2026</c:v>
                </c:pt>
                <c:pt idx="38">
                  <c:v>12.03.2026</c:v>
                </c:pt>
                <c:pt idx="39">
                  <c:v>13.03.2026</c:v>
                </c:pt>
                <c:pt idx="40">
                  <c:v>15.03.2026</c:v>
                </c:pt>
                <c:pt idx="41">
                  <c:v>16.03.2026</c:v>
                </c:pt>
                <c:pt idx="42">
                  <c:v>17.03.2026</c:v>
                </c:pt>
                <c:pt idx="43">
                  <c:v>18.03.2026</c:v>
                </c:pt>
                <c:pt idx="44">
                  <c:v>20.03.2026</c:v>
                </c:pt>
                <c:pt idx="45">
                  <c:v>24.03.2026</c:v>
                </c:pt>
                <c:pt idx="46">
                  <c:v>25.03.2026</c:v>
                </c:pt>
                <c:pt idx="47">
                  <c:v>26.03.2026</c:v>
                </c:pt>
                <c:pt idx="48">
                  <c:v>27.03.2026</c:v>
                </c:pt>
                <c:pt idx="49">
                  <c:v>30.03.2026</c:v>
                </c:pt>
                <c:pt idx="50">
                  <c:v>31.03.2026</c:v>
                </c:pt>
                <c:pt idx="51">
                  <c:v>1.04.2026</c:v>
                </c:pt>
                <c:pt idx="52">
                  <c:v>3.04.2026</c:v>
                </c:pt>
                <c:pt idx="53">
                  <c:v>6.04.2026</c:v>
                </c:pt>
                <c:pt idx="54">
                  <c:v>7.04.2026</c:v>
                </c:pt>
                <c:pt idx="55">
                  <c:v>8.04.2026</c:v>
                </c:pt>
                <c:pt idx="56">
                  <c:v>9.04.2026</c:v>
                </c:pt>
                <c:pt idx="57">
                  <c:v>10.04.2026</c:v>
                </c:pt>
                <c:pt idx="58">
                  <c:v>13.04.2026</c:v>
                </c:pt>
                <c:pt idx="59">
                  <c:v>14.04.2026</c:v>
                </c:pt>
                <c:pt idx="60">
                  <c:v>15.04.2026</c:v>
                </c:pt>
                <c:pt idx="61">
                  <c:v>16.04.2026</c:v>
                </c:pt>
                <c:pt idx="62">
                  <c:v>20.04.2026</c:v>
                </c:pt>
                <c:pt idx="63">
                  <c:v>21.04.2026</c:v>
                </c:pt>
                <c:pt idx="64">
                  <c:v>22.04.2026</c:v>
                </c:pt>
                <c:pt idx="65">
                  <c:v>24.04.2026</c:v>
                </c:pt>
                <c:pt idx="66">
                  <c:v>27.04.2026</c:v>
                </c:pt>
                <c:pt idx="67">
                  <c:v>28.04.2026</c:v>
                </c:pt>
                <c:pt idx="68">
                  <c:v>29.04.2026</c:v>
                </c:pt>
                <c:pt idx="69">
                  <c:v>30.04.2026</c:v>
                </c:pt>
                <c:pt idx="70">
                  <c:v>5.05.2026</c:v>
                </c:pt>
                <c:pt idx="71">
                  <c:v>6.05.2026</c:v>
                </c:pt>
                <c:pt idx="72">
                  <c:v>7.05.2026</c:v>
                </c:pt>
                <c:pt idx="73">
                  <c:v>8.05.2026</c:v>
                </c:pt>
                <c:pt idx="74">
                  <c:v>11.05.2026</c:v>
                </c:pt>
                <c:pt idx="75">
                  <c:v>14.05.2026</c:v>
                </c:pt>
                <c:pt idx="76">
                  <c:v>18.05.2026</c:v>
                </c:pt>
                <c:pt idx="77">
                  <c:v>21.05.2026</c:v>
                </c:pt>
                <c:pt idx="78">
                  <c:v>3.06.2026</c:v>
                </c:pt>
                <c:pt idx="79">
                  <c:v>4.06.2026</c:v>
                </c:pt>
                <c:pt idx="80">
                  <c:v>5.06.2026</c:v>
                </c:pt>
                <c:pt idx="81">
                  <c:v>8.06.2026</c:v>
                </c:pt>
                <c:pt idx="82">
                  <c:v>9.06.2026</c:v>
                </c:pt>
                <c:pt idx="83">
                  <c:v>10.06.2026</c:v>
                </c:pt>
                <c:pt idx="84">
                  <c:v>11.06.2026</c:v>
                </c:pt>
                <c:pt idx="85">
                  <c:v>12.06.2026</c:v>
                </c:pt>
                <c:pt idx="86">
                  <c:v>13.06.2026</c:v>
                </c:pt>
                <c:pt idx="87">
                  <c:v>15.06.2026</c:v>
                </c:pt>
                <c:pt idx="88">
                  <c:v>16.06.2026</c:v>
                </c:pt>
                <c:pt idx="89">
                  <c:v>17.06.2026</c:v>
                </c:pt>
                <c:pt idx="90">
                  <c:v>18.06.2026</c:v>
                </c:pt>
                <c:pt idx="91">
                  <c:v>19.06.2026</c:v>
                </c:pt>
                <c:pt idx="92">
                  <c:v>22.06.2026</c:v>
                </c:pt>
                <c:pt idx="93">
                  <c:v>23.06.2026</c:v>
                </c:pt>
                <c:pt idx="94">
                  <c:v>24.06.2026</c:v>
                </c:pt>
                <c:pt idx="95">
                  <c:v>25.06.2026</c:v>
                </c:pt>
                <c:pt idx="96">
                  <c:v>26.06.2026</c:v>
                </c:pt>
                <c:pt idx="97">
                  <c:v>30.06.2026</c:v>
                </c:pt>
                <c:pt idx="98">
                  <c:v>2.07.2026</c:v>
                </c:pt>
                <c:pt idx="99">
                  <c:v>3.07.2026</c:v>
                </c:pt>
                <c:pt idx="100">
                  <c:v>4.07.2026</c:v>
                </c:pt>
                <c:pt idx="101">
                  <c:v>6.07.2026</c:v>
                </c:pt>
                <c:pt idx="102">
                  <c:v>7.07.2026</c:v>
                </c:pt>
                <c:pt idx="103">
                  <c:v>8.07.2026</c:v>
                </c:pt>
                <c:pt idx="104">
                  <c:v>9.07.2026</c:v>
                </c:pt>
                <c:pt idx="105">
                  <c:v>10.07.2026</c:v>
                </c:pt>
                <c:pt idx="106">
                  <c:v>13.07.2026</c:v>
                </c:pt>
                <c:pt idx="107">
                  <c:v>14.07.2026</c:v>
                </c:pt>
                <c:pt idx="108">
                  <c:v>16.07.2026</c:v>
                </c:pt>
                <c:pt idx="109">
                  <c:v>17.07.2026</c:v>
                </c:pt>
                <c:pt idx="110">
                  <c:v>18.07.2026</c:v>
                </c:pt>
                <c:pt idx="111">
                  <c:v>20.07.2026</c:v>
                </c:pt>
                <c:pt idx="112">
                  <c:v>21.07.2026</c:v>
                </c:pt>
                <c:pt idx="113">
                  <c:v>22.07.2026</c:v>
                </c:pt>
                <c:pt idx="114">
                  <c:v>23.07.2026</c:v>
                </c:pt>
                <c:pt idx="115">
                  <c:v>24.07.2026</c:v>
                </c:pt>
                <c:pt idx="116">
                  <c:v>25.07.2026</c:v>
                </c:pt>
                <c:pt idx="117">
                  <c:v>26.07.2026</c:v>
                </c:pt>
                <c:pt idx="118">
                  <c:v>27.07.2026</c:v>
                </c:pt>
                <c:pt idx="119">
                  <c:v>28.07.2026</c:v>
                </c:pt>
                <c:pt idx="120">
                  <c:v>29.07.2026</c:v>
                </c:pt>
                <c:pt idx="121">
                  <c:v>30.07.2026</c:v>
                </c:pt>
                <c:pt idx="122">
                  <c:v>31.07.2026</c:v>
                </c:pt>
                <c:pt idx="123">
                  <c:v>3.08.2026</c:v>
                </c:pt>
                <c:pt idx="124">
                  <c:v>4.08.2026</c:v>
                </c:pt>
                <c:pt idx="125">
                  <c:v>5.08.2026</c:v>
                </c:pt>
                <c:pt idx="126">
                  <c:v>6.08.2026</c:v>
                </c:pt>
                <c:pt idx="127">
                  <c:v>7.08.2026</c:v>
                </c:pt>
                <c:pt idx="128">
                  <c:v>8.08.2026</c:v>
                </c:pt>
                <c:pt idx="129">
                  <c:v>10.08.2026</c:v>
                </c:pt>
                <c:pt idx="130">
                  <c:v>11.08.2026</c:v>
                </c:pt>
                <c:pt idx="131">
                  <c:v>12.08.2026</c:v>
                </c:pt>
                <c:pt idx="132">
                  <c:v>13.08.2026</c:v>
                </c:pt>
                <c:pt idx="133">
                  <c:v>14.08.2026</c:v>
                </c:pt>
                <c:pt idx="134">
                  <c:v>16.08.2026</c:v>
                </c:pt>
                <c:pt idx="135">
                  <c:v>17.08.2026</c:v>
                </c:pt>
                <c:pt idx="136">
                  <c:v>18.08.2026</c:v>
                </c:pt>
                <c:pt idx="137">
                  <c:v>19.08.2026</c:v>
                </c:pt>
                <c:pt idx="138">
                  <c:v>20.08.2026</c:v>
                </c:pt>
                <c:pt idx="139">
                  <c:v>21.08.2026</c:v>
                </c:pt>
                <c:pt idx="140">
                  <c:v>22.08.2026</c:v>
                </c:pt>
                <c:pt idx="141">
                  <c:v>24.08.2026</c:v>
                </c:pt>
                <c:pt idx="142">
                  <c:v>25.08.2026</c:v>
                </c:pt>
                <c:pt idx="143">
                  <c:v>26.08.2026</c:v>
                </c:pt>
                <c:pt idx="144">
                  <c:v>27.08.2026</c:v>
                </c:pt>
                <c:pt idx="145">
                  <c:v>28.08.2026</c:v>
                </c:pt>
                <c:pt idx="146">
                  <c:v>Genel Toplam</c:v>
                </c:pt>
              </c:strCache>
            </c:strRef>
          </c:cat>
          <c:val>
            <c:numRef>
              <c:f>'Elektronik- Fonksiyon Hatası '!$D$2:$D$148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1.5822784810126583E-2</c:v>
                </c:pt>
                <c:pt idx="8">
                  <c:v>3.3333333333333333E-2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3.3333333333333333E-2</c:v>
                </c:pt>
                <c:pt idx="32">
                  <c:v>2.030456852791878E-2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2.8571428571428571E-2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1.4E-2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0.02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3.3333333333333333E-2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1.8181818181818181E-2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1.4285714285714285E-2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5.790263778683251E-3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C-4168-86CE-C3694B16F8E5}"/>
            </c:ext>
          </c:extLst>
        </c:ser>
        <c:ser>
          <c:idx val="1"/>
          <c:order val="1"/>
          <c:tx>
            <c:strRef>
              <c:f>'Elektronik- Fonksiyon Hatası 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strRef>
              <c:f>'Elektronik- Fonksiyon Hatası '!$A$2:$A$148</c:f>
              <c:strCache>
                <c:ptCount val="147"/>
                <c:pt idx="0">
                  <c:v>7.01.2026</c:v>
                </c:pt>
                <c:pt idx="1">
                  <c:v>8.01.2026</c:v>
                </c:pt>
                <c:pt idx="2">
                  <c:v>9.01.2026</c:v>
                </c:pt>
                <c:pt idx="3">
                  <c:v>13.01.2026</c:v>
                </c:pt>
                <c:pt idx="4">
                  <c:v>15.01.2026</c:v>
                </c:pt>
                <c:pt idx="5">
                  <c:v>16.01.2026</c:v>
                </c:pt>
                <c:pt idx="6">
                  <c:v>19.01.2026</c:v>
                </c:pt>
                <c:pt idx="7">
                  <c:v>21.01.2026</c:v>
                </c:pt>
                <c:pt idx="8">
                  <c:v>23.01.2026</c:v>
                </c:pt>
                <c:pt idx="9">
                  <c:v>26.01.2026</c:v>
                </c:pt>
                <c:pt idx="10">
                  <c:v>28.01.2026</c:v>
                </c:pt>
                <c:pt idx="11">
                  <c:v>30.01.2026</c:v>
                </c:pt>
                <c:pt idx="12">
                  <c:v>2.02.2026</c:v>
                </c:pt>
                <c:pt idx="13">
                  <c:v>3.02.2026</c:v>
                </c:pt>
                <c:pt idx="14">
                  <c:v>4.02.2026</c:v>
                </c:pt>
                <c:pt idx="15">
                  <c:v>5.02.2026</c:v>
                </c:pt>
                <c:pt idx="16">
                  <c:v>6.02.2026</c:v>
                </c:pt>
                <c:pt idx="17">
                  <c:v>9.02.2026</c:v>
                </c:pt>
                <c:pt idx="18">
                  <c:v>10.02.2026</c:v>
                </c:pt>
                <c:pt idx="19">
                  <c:v>11.02.2026</c:v>
                </c:pt>
                <c:pt idx="20">
                  <c:v>12.02.2026</c:v>
                </c:pt>
                <c:pt idx="21">
                  <c:v>13.02.2026</c:v>
                </c:pt>
                <c:pt idx="22">
                  <c:v>16.02.2026</c:v>
                </c:pt>
                <c:pt idx="23">
                  <c:v>17.02.2026</c:v>
                </c:pt>
                <c:pt idx="24">
                  <c:v>18.02.2026</c:v>
                </c:pt>
                <c:pt idx="25">
                  <c:v>19.02.2026</c:v>
                </c:pt>
                <c:pt idx="26">
                  <c:v>23.02.2026</c:v>
                </c:pt>
                <c:pt idx="27">
                  <c:v>24.02.2026</c:v>
                </c:pt>
                <c:pt idx="28">
                  <c:v>25.02.2026</c:v>
                </c:pt>
                <c:pt idx="29">
                  <c:v>26.02.2026</c:v>
                </c:pt>
                <c:pt idx="30">
                  <c:v>28.02.2026</c:v>
                </c:pt>
                <c:pt idx="31">
                  <c:v>2.03.2026</c:v>
                </c:pt>
                <c:pt idx="32">
                  <c:v>3.03.2026</c:v>
                </c:pt>
                <c:pt idx="33">
                  <c:v>5.03.2026</c:v>
                </c:pt>
                <c:pt idx="34">
                  <c:v>6.03.2026</c:v>
                </c:pt>
                <c:pt idx="35">
                  <c:v>9.03.2026</c:v>
                </c:pt>
                <c:pt idx="36">
                  <c:v>10.03.2026</c:v>
                </c:pt>
                <c:pt idx="37">
                  <c:v>11.03.2026</c:v>
                </c:pt>
                <c:pt idx="38">
                  <c:v>12.03.2026</c:v>
                </c:pt>
                <c:pt idx="39">
                  <c:v>13.03.2026</c:v>
                </c:pt>
                <c:pt idx="40">
                  <c:v>15.03.2026</c:v>
                </c:pt>
                <c:pt idx="41">
                  <c:v>16.03.2026</c:v>
                </c:pt>
                <c:pt idx="42">
                  <c:v>17.03.2026</c:v>
                </c:pt>
                <c:pt idx="43">
                  <c:v>18.03.2026</c:v>
                </c:pt>
                <c:pt idx="44">
                  <c:v>20.03.2026</c:v>
                </c:pt>
                <c:pt idx="45">
                  <c:v>24.03.2026</c:v>
                </c:pt>
                <c:pt idx="46">
                  <c:v>25.03.2026</c:v>
                </c:pt>
                <c:pt idx="47">
                  <c:v>26.03.2026</c:v>
                </c:pt>
                <c:pt idx="48">
                  <c:v>27.03.2026</c:v>
                </c:pt>
                <c:pt idx="49">
                  <c:v>30.03.2026</c:v>
                </c:pt>
                <c:pt idx="50">
                  <c:v>31.03.2026</c:v>
                </c:pt>
                <c:pt idx="51">
                  <c:v>1.04.2026</c:v>
                </c:pt>
                <c:pt idx="52">
                  <c:v>3.04.2026</c:v>
                </c:pt>
                <c:pt idx="53">
                  <c:v>6.04.2026</c:v>
                </c:pt>
                <c:pt idx="54">
                  <c:v>7.04.2026</c:v>
                </c:pt>
                <c:pt idx="55">
                  <c:v>8.04.2026</c:v>
                </c:pt>
                <c:pt idx="56">
                  <c:v>9.04.2026</c:v>
                </c:pt>
                <c:pt idx="57">
                  <c:v>10.04.2026</c:v>
                </c:pt>
                <c:pt idx="58">
                  <c:v>13.04.2026</c:v>
                </c:pt>
                <c:pt idx="59">
                  <c:v>14.04.2026</c:v>
                </c:pt>
                <c:pt idx="60">
                  <c:v>15.04.2026</c:v>
                </c:pt>
                <c:pt idx="61">
                  <c:v>16.04.2026</c:v>
                </c:pt>
                <c:pt idx="62">
                  <c:v>20.04.2026</c:v>
                </c:pt>
                <c:pt idx="63">
                  <c:v>21.04.2026</c:v>
                </c:pt>
                <c:pt idx="64">
                  <c:v>22.04.2026</c:v>
                </c:pt>
                <c:pt idx="65">
                  <c:v>24.04.2026</c:v>
                </c:pt>
                <c:pt idx="66">
                  <c:v>27.04.2026</c:v>
                </c:pt>
                <c:pt idx="67">
                  <c:v>28.04.2026</c:v>
                </c:pt>
                <c:pt idx="68">
                  <c:v>29.04.2026</c:v>
                </c:pt>
                <c:pt idx="69">
                  <c:v>30.04.2026</c:v>
                </c:pt>
                <c:pt idx="70">
                  <c:v>5.05.2026</c:v>
                </c:pt>
                <c:pt idx="71">
                  <c:v>6.05.2026</c:v>
                </c:pt>
                <c:pt idx="72">
                  <c:v>7.05.2026</c:v>
                </c:pt>
                <c:pt idx="73">
                  <c:v>8.05.2026</c:v>
                </c:pt>
                <c:pt idx="74">
                  <c:v>11.05.2026</c:v>
                </c:pt>
                <c:pt idx="75">
                  <c:v>14.05.2026</c:v>
                </c:pt>
                <c:pt idx="76">
                  <c:v>18.05.2026</c:v>
                </c:pt>
                <c:pt idx="77">
                  <c:v>21.05.2026</c:v>
                </c:pt>
                <c:pt idx="78">
                  <c:v>3.06.2026</c:v>
                </c:pt>
                <c:pt idx="79">
                  <c:v>4.06.2026</c:v>
                </c:pt>
                <c:pt idx="80">
                  <c:v>5.06.2026</c:v>
                </c:pt>
                <c:pt idx="81">
                  <c:v>8.06.2026</c:v>
                </c:pt>
                <c:pt idx="82">
                  <c:v>9.06.2026</c:v>
                </c:pt>
                <c:pt idx="83">
                  <c:v>10.06.2026</c:v>
                </c:pt>
                <c:pt idx="84">
                  <c:v>11.06.2026</c:v>
                </c:pt>
                <c:pt idx="85">
                  <c:v>12.06.2026</c:v>
                </c:pt>
                <c:pt idx="86">
                  <c:v>13.06.2026</c:v>
                </c:pt>
                <c:pt idx="87">
                  <c:v>15.06.2026</c:v>
                </c:pt>
                <c:pt idx="88">
                  <c:v>16.06.2026</c:v>
                </c:pt>
                <c:pt idx="89">
                  <c:v>17.06.2026</c:v>
                </c:pt>
                <c:pt idx="90">
                  <c:v>18.06.2026</c:v>
                </c:pt>
                <c:pt idx="91">
                  <c:v>19.06.2026</c:v>
                </c:pt>
                <c:pt idx="92">
                  <c:v>22.06.2026</c:v>
                </c:pt>
                <c:pt idx="93">
                  <c:v>23.06.2026</c:v>
                </c:pt>
                <c:pt idx="94">
                  <c:v>24.06.2026</c:v>
                </c:pt>
                <c:pt idx="95">
                  <c:v>25.06.2026</c:v>
                </c:pt>
                <c:pt idx="96">
                  <c:v>26.06.2026</c:v>
                </c:pt>
                <c:pt idx="97">
                  <c:v>30.06.2026</c:v>
                </c:pt>
                <c:pt idx="98">
                  <c:v>2.07.2026</c:v>
                </c:pt>
                <c:pt idx="99">
                  <c:v>3.07.2026</c:v>
                </c:pt>
                <c:pt idx="100">
                  <c:v>4.07.2026</c:v>
                </c:pt>
                <c:pt idx="101">
                  <c:v>6.07.2026</c:v>
                </c:pt>
                <c:pt idx="102">
                  <c:v>7.07.2026</c:v>
                </c:pt>
                <c:pt idx="103">
                  <c:v>8.07.2026</c:v>
                </c:pt>
                <c:pt idx="104">
                  <c:v>9.07.2026</c:v>
                </c:pt>
                <c:pt idx="105">
                  <c:v>10.07.2026</c:v>
                </c:pt>
                <c:pt idx="106">
                  <c:v>13.07.2026</c:v>
                </c:pt>
                <c:pt idx="107">
                  <c:v>14.07.2026</c:v>
                </c:pt>
                <c:pt idx="108">
                  <c:v>16.07.2026</c:v>
                </c:pt>
                <c:pt idx="109">
                  <c:v>17.07.2026</c:v>
                </c:pt>
                <c:pt idx="110">
                  <c:v>18.07.2026</c:v>
                </c:pt>
                <c:pt idx="111">
                  <c:v>20.07.2026</c:v>
                </c:pt>
                <c:pt idx="112">
                  <c:v>21.07.2026</c:v>
                </c:pt>
                <c:pt idx="113">
                  <c:v>22.07.2026</c:v>
                </c:pt>
                <c:pt idx="114">
                  <c:v>23.07.2026</c:v>
                </c:pt>
                <c:pt idx="115">
                  <c:v>24.07.2026</c:v>
                </c:pt>
                <c:pt idx="116">
                  <c:v>25.07.2026</c:v>
                </c:pt>
                <c:pt idx="117">
                  <c:v>26.07.2026</c:v>
                </c:pt>
                <c:pt idx="118">
                  <c:v>27.07.2026</c:v>
                </c:pt>
                <c:pt idx="119">
                  <c:v>28.07.2026</c:v>
                </c:pt>
                <c:pt idx="120">
                  <c:v>29.07.2026</c:v>
                </c:pt>
                <c:pt idx="121">
                  <c:v>30.07.2026</c:v>
                </c:pt>
                <c:pt idx="122">
                  <c:v>31.07.2026</c:v>
                </c:pt>
                <c:pt idx="123">
                  <c:v>3.08.2026</c:v>
                </c:pt>
                <c:pt idx="124">
                  <c:v>4.08.2026</c:v>
                </c:pt>
                <c:pt idx="125">
                  <c:v>5.08.2026</c:v>
                </c:pt>
                <c:pt idx="126">
                  <c:v>6.08.2026</c:v>
                </c:pt>
                <c:pt idx="127">
                  <c:v>7.08.2026</c:v>
                </c:pt>
                <c:pt idx="128">
                  <c:v>8.08.2026</c:v>
                </c:pt>
                <c:pt idx="129">
                  <c:v>10.08.2026</c:v>
                </c:pt>
                <c:pt idx="130">
                  <c:v>11.08.2026</c:v>
                </c:pt>
                <c:pt idx="131">
                  <c:v>12.08.2026</c:v>
                </c:pt>
                <c:pt idx="132">
                  <c:v>13.08.2026</c:v>
                </c:pt>
                <c:pt idx="133">
                  <c:v>14.08.2026</c:v>
                </c:pt>
                <c:pt idx="134">
                  <c:v>16.08.2026</c:v>
                </c:pt>
                <c:pt idx="135">
                  <c:v>17.08.2026</c:v>
                </c:pt>
                <c:pt idx="136">
                  <c:v>18.08.2026</c:v>
                </c:pt>
                <c:pt idx="137">
                  <c:v>19.08.2026</c:v>
                </c:pt>
                <c:pt idx="138">
                  <c:v>20.08.2026</c:v>
                </c:pt>
                <c:pt idx="139">
                  <c:v>21.08.2026</c:v>
                </c:pt>
                <c:pt idx="140">
                  <c:v>22.08.2026</c:v>
                </c:pt>
                <c:pt idx="141">
                  <c:v>24.08.2026</c:v>
                </c:pt>
                <c:pt idx="142">
                  <c:v>25.08.2026</c:v>
                </c:pt>
                <c:pt idx="143">
                  <c:v>26.08.2026</c:v>
                </c:pt>
                <c:pt idx="144">
                  <c:v>27.08.2026</c:v>
                </c:pt>
                <c:pt idx="145">
                  <c:v>28.08.2026</c:v>
                </c:pt>
                <c:pt idx="146">
                  <c:v>Genel Toplam</c:v>
                </c:pt>
              </c:strCache>
            </c:strRef>
          </c:cat>
          <c:val>
            <c:numRef>
              <c:f>'Elektronik- Fonksiyon Hatası '!$E$2:$E$148</c:f>
              <c:numCache>
                <c:formatCode>General</c:formatCode>
                <c:ptCount val="147"/>
                <c:pt idx="0">
                  <c:v>0.16674154463178592</c:v>
                </c:pt>
                <c:pt idx="1">
                  <c:v>4.4826683280788884E-2</c:v>
                </c:pt>
                <c:pt idx="2">
                  <c:v>0.23340974804246212</c:v>
                </c:pt>
                <c:pt idx="3">
                  <c:v>3.1081317585769791E-2</c:v>
                </c:pt>
                <c:pt idx="4">
                  <c:v>9.8715529105637134E-2</c:v>
                </c:pt>
                <c:pt idx="5">
                  <c:v>0.16674154463178592</c:v>
                </c:pt>
                <c:pt idx="6">
                  <c:v>7.1498349034931505E-2</c:v>
                </c:pt>
                <c:pt idx="7">
                  <c:v>1.8594860166693206E-2</c:v>
                </c:pt>
                <c:pt idx="8">
                  <c:v>3.5175812839547814E-2</c:v>
                </c:pt>
                <c:pt idx="9">
                  <c:v>0.16674154463178592</c:v>
                </c:pt>
                <c:pt idx="10">
                  <c:v>2.168789815041024E-2</c:v>
                </c:pt>
                <c:pt idx="11">
                  <c:v>9.8715529105637134E-2</c:v>
                </c:pt>
                <c:pt idx="12">
                  <c:v>0.16674154463178592</c:v>
                </c:pt>
                <c:pt idx="13">
                  <c:v>0.23340974804246212</c:v>
                </c:pt>
                <c:pt idx="14">
                  <c:v>9.1822342195074513E-2</c:v>
                </c:pt>
                <c:pt idx="15">
                  <c:v>9.8715529105637134E-2</c:v>
                </c:pt>
                <c:pt idx="16">
                  <c:v>9.1822342195074513E-2</c:v>
                </c:pt>
                <c:pt idx="17">
                  <c:v>5.1314160631439031E-2</c:v>
                </c:pt>
                <c:pt idx="18">
                  <c:v>0.11960000591057268</c:v>
                </c:pt>
                <c:pt idx="19">
                  <c:v>0.16674154463178592</c:v>
                </c:pt>
                <c:pt idx="20">
                  <c:v>3.033510400198294E-2</c:v>
                </c:pt>
                <c:pt idx="21">
                  <c:v>6.2695134844627964E-2</c:v>
                </c:pt>
                <c:pt idx="22">
                  <c:v>9.1822342195074513E-2</c:v>
                </c:pt>
                <c:pt idx="23">
                  <c:v>7.4420120531152323E-2</c:v>
                </c:pt>
                <c:pt idx="24">
                  <c:v>9.8715529105637134E-2</c:v>
                </c:pt>
                <c:pt idx="25">
                  <c:v>8.6265904205234584E-2</c:v>
                </c:pt>
                <c:pt idx="26">
                  <c:v>7.1498349034931505E-2</c:v>
                </c:pt>
                <c:pt idx="27">
                  <c:v>0.1075847917421339</c:v>
                </c:pt>
                <c:pt idx="28">
                  <c:v>0.13720643429117976</c:v>
                </c:pt>
                <c:pt idx="29">
                  <c:v>0.16674154463178592</c:v>
                </c:pt>
                <c:pt idx="30">
                  <c:v>4.8806302986878887E-2</c:v>
                </c:pt>
                <c:pt idx="31">
                  <c:v>4.7347705798337879E-2</c:v>
                </c:pt>
                <c:pt idx="32">
                  <c:v>2.2007480552246914E-2</c:v>
                </c:pt>
                <c:pt idx="33">
                  <c:v>0.1075847917421339</c:v>
                </c:pt>
                <c:pt idx="34">
                  <c:v>0.16674154463178592</c:v>
                </c:pt>
                <c:pt idx="35">
                  <c:v>0.16674154463178592</c:v>
                </c:pt>
                <c:pt idx="36">
                  <c:v>0.16674154463178592</c:v>
                </c:pt>
                <c:pt idx="37">
                  <c:v>3.2995995742084082E-2</c:v>
                </c:pt>
                <c:pt idx="38">
                  <c:v>5.3252207167918654E-2</c:v>
                </c:pt>
                <c:pt idx="39">
                  <c:v>0.23340974804246212</c:v>
                </c:pt>
                <c:pt idx="40">
                  <c:v>0.23340974804246212</c:v>
                </c:pt>
                <c:pt idx="41">
                  <c:v>4.5413730049166733E-2</c:v>
                </c:pt>
                <c:pt idx="42">
                  <c:v>6.0996097665046621E-2</c:v>
                </c:pt>
                <c:pt idx="43">
                  <c:v>4.7347705798337879E-2</c:v>
                </c:pt>
                <c:pt idx="44">
                  <c:v>0.23340974804246212</c:v>
                </c:pt>
                <c:pt idx="45">
                  <c:v>1.5969716575028315E-2</c:v>
                </c:pt>
                <c:pt idx="46">
                  <c:v>3.648246877560201E-2</c:v>
                </c:pt>
                <c:pt idx="47">
                  <c:v>0.23340974804246212</c:v>
                </c:pt>
                <c:pt idx="48">
                  <c:v>5.3252207167918654E-2</c:v>
                </c:pt>
                <c:pt idx="49">
                  <c:v>0.16674154463178592</c:v>
                </c:pt>
                <c:pt idx="50">
                  <c:v>0.23340974804246212</c:v>
                </c:pt>
                <c:pt idx="51">
                  <c:v>0.16674154463178592</c:v>
                </c:pt>
                <c:pt idx="52">
                  <c:v>8.6265904205234584E-2</c:v>
                </c:pt>
                <c:pt idx="53">
                  <c:v>0.16674154463178592</c:v>
                </c:pt>
                <c:pt idx="54">
                  <c:v>6.6624129826486328E-2</c:v>
                </c:pt>
                <c:pt idx="55">
                  <c:v>8.6265904205234584E-2</c:v>
                </c:pt>
                <c:pt idx="56">
                  <c:v>5.1314160631439031E-2</c:v>
                </c:pt>
                <c:pt idx="57">
                  <c:v>0.23340974804246212</c:v>
                </c:pt>
                <c:pt idx="58">
                  <c:v>4.0501909708754336E-2</c:v>
                </c:pt>
                <c:pt idx="59">
                  <c:v>6.6624129826486328E-2</c:v>
                </c:pt>
                <c:pt idx="60">
                  <c:v>0.1075847917421339</c:v>
                </c:pt>
                <c:pt idx="61">
                  <c:v>3.7056204502865661E-2</c:v>
                </c:pt>
                <c:pt idx="62">
                  <c:v>8.6265904205234584E-2</c:v>
                </c:pt>
                <c:pt idx="63">
                  <c:v>5.8009754804296869E-2</c:v>
                </c:pt>
                <c:pt idx="64">
                  <c:v>0.16674154463178592</c:v>
                </c:pt>
                <c:pt idx="65">
                  <c:v>3.7663366833812904E-2</c:v>
                </c:pt>
                <c:pt idx="66">
                  <c:v>5.4318900880215501E-2</c:v>
                </c:pt>
                <c:pt idx="67">
                  <c:v>3.2615477254200366E-2</c:v>
                </c:pt>
                <c:pt idx="68">
                  <c:v>8.1663425199942866E-2</c:v>
                </c:pt>
                <c:pt idx="69">
                  <c:v>8.6265904205234584E-2</c:v>
                </c:pt>
                <c:pt idx="70">
                  <c:v>0.23340974804246212</c:v>
                </c:pt>
                <c:pt idx="71">
                  <c:v>0.1075847917421339</c:v>
                </c:pt>
                <c:pt idx="72">
                  <c:v>9.8715529105637134E-2</c:v>
                </c:pt>
                <c:pt idx="73">
                  <c:v>0.16674154463178592</c:v>
                </c:pt>
                <c:pt idx="74">
                  <c:v>0.23340974804246212</c:v>
                </c:pt>
                <c:pt idx="75">
                  <c:v>3.2995995742084082E-2</c:v>
                </c:pt>
                <c:pt idx="76">
                  <c:v>0.13720643429117976</c:v>
                </c:pt>
                <c:pt idx="77">
                  <c:v>2.8552212205061139E-2</c:v>
                </c:pt>
                <c:pt idx="78">
                  <c:v>8.6265904205234584E-2</c:v>
                </c:pt>
                <c:pt idx="79">
                  <c:v>5.9440690729717478E-2</c:v>
                </c:pt>
                <c:pt idx="80">
                  <c:v>9.8715529105637134E-2</c:v>
                </c:pt>
                <c:pt idx="81">
                  <c:v>4.4264978895611921E-2</c:v>
                </c:pt>
                <c:pt idx="82">
                  <c:v>6.8920550071585041E-2</c:v>
                </c:pt>
                <c:pt idx="83">
                  <c:v>3.3598409695857874E-2</c:v>
                </c:pt>
                <c:pt idx="84">
                  <c:v>2.4564002423325609E-2</c:v>
                </c:pt>
                <c:pt idx="85">
                  <c:v>0.11960000591057268</c:v>
                </c:pt>
                <c:pt idx="86">
                  <c:v>4.7347705798337879E-2</c:v>
                </c:pt>
                <c:pt idx="87">
                  <c:v>0.1075847917421339</c:v>
                </c:pt>
                <c:pt idx="88">
                  <c:v>5.8009754804296869E-2</c:v>
                </c:pt>
                <c:pt idx="89">
                  <c:v>8.1663425199942866E-2</c:v>
                </c:pt>
                <c:pt idx="90">
                  <c:v>9.1822342195074513E-2</c:v>
                </c:pt>
                <c:pt idx="91">
                  <c:v>3.648246877560201E-2</c:v>
                </c:pt>
                <c:pt idx="92">
                  <c:v>0.13720643429117976</c:v>
                </c:pt>
                <c:pt idx="93">
                  <c:v>3.3393180721864937E-2</c:v>
                </c:pt>
                <c:pt idx="94">
                  <c:v>7.1498349034931505E-2</c:v>
                </c:pt>
                <c:pt idx="95">
                  <c:v>3.8991977915574502E-2</c:v>
                </c:pt>
                <c:pt idx="96">
                  <c:v>3.2995995742084082E-2</c:v>
                </c:pt>
                <c:pt idx="97">
                  <c:v>7.1498349034931505E-2</c:v>
                </c:pt>
                <c:pt idx="98">
                  <c:v>6.2695134844627964E-2</c:v>
                </c:pt>
                <c:pt idx="99">
                  <c:v>4.9595653949515421E-2</c:v>
                </c:pt>
                <c:pt idx="100">
                  <c:v>2.099873029063402E-2</c:v>
                </c:pt>
                <c:pt idx="101">
                  <c:v>5.2252896442160197E-2</c:v>
                </c:pt>
                <c:pt idx="102">
                  <c:v>7.4420120531152323E-2</c:v>
                </c:pt>
                <c:pt idx="103">
                  <c:v>3.5175812839547814E-2</c:v>
                </c:pt>
                <c:pt idx="104">
                  <c:v>4.133845491530197E-2</c:v>
                </c:pt>
                <c:pt idx="105">
                  <c:v>0.11960000591057268</c:v>
                </c:pt>
                <c:pt idx="106">
                  <c:v>0.13720643429117976</c:v>
                </c:pt>
                <c:pt idx="107">
                  <c:v>8.6265904205234584E-2</c:v>
                </c:pt>
                <c:pt idx="108">
                  <c:v>4.1780064284003042E-2</c:v>
                </c:pt>
                <c:pt idx="109">
                  <c:v>8.1663425199942866E-2</c:v>
                </c:pt>
                <c:pt idx="110">
                  <c:v>0.13720643429117976</c:v>
                </c:pt>
                <c:pt idx="111">
                  <c:v>4.0912712717227996E-2</c:v>
                </c:pt>
                <c:pt idx="112">
                  <c:v>2.3146086743718791E-2</c:v>
                </c:pt>
                <c:pt idx="113">
                  <c:v>0.11960000591057268</c:v>
                </c:pt>
                <c:pt idx="114">
                  <c:v>5.2252896442160197E-2</c:v>
                </c:pt>
                <c:pt idx="115">
                  <c:v>5.4318900880215501E-2</c:v>
                </c:pt>
                <c:pt idx="116">
                  <c:v>0.16674154463178592</c:v>
                </c:pt>
                <c:pt idx="117">
                  <c:v>0.23340974804246212</c:v>
                </c:pt>
                <c:pt idx="118">
                  <c:v>4.7347705798337879E-2</c:v>
                </c:pt>
                <c:pt idx="119">
                  <c:v>9.1822342195074513E-2</c:v>
                </c:pt>
                <c:pt idx="120">
                  <c:v>5.6687527760408578E-2</c:v>
                </c:pt>
                <c:pt idx="121">
                  <c:v>5.6687527760408578E-2</c:v>
                </c:pt>
                <c:pt idx="122">
                  <c:v>4.3726844489313063E-2</c:v>
                </c:pt>
                <c:pt idx="123">
                  <c:v>0.11960000591057268</c:v>
                </c:pt>
                <c:pt idx="124">
                  <c:v>8.6265904205234584E-2</c:v>
                </c:pt>
                <c:pt idx="125">
                  <c:v>2.3351488247955621E-2</c:v>
                </c:pt>
                <c:pt idx="126">
                  <c:v>3.2431109341107517E-2</c:v>
                </c:pt>
                <c:pt idx="127">
                  <c:v>4.4826683280788884E-2</c:v>
                </c:pt>
                <c:pt idx="128">
                  <c:v>0.23340974804246212</c:v>
                </c:pt>
                <c:pt idx="129">
                  <c:v>5.4318900880215501E-2</c:v>
                </c:pt>
                <c:pt idx="130">
                  <c:v>4.4264978895611921E-2</c:v>
                </c:pt>
                <c:pt idx="131">
                  <c:v>2.2996679461961503E-2</c:v>
                </c:pt>
                <c:pt idx="132">
                  <c:v>8.1663425199942866E-2</c:v>
                </c:pt>
                <c:pt idx="133">
                  <c:v>4.7347705798337879E-2</c:v>
                </c:pt>
                <c:pt idx="134">
                  <c:v>0.16674154463178592</c:v>
                </c:pt>
                <c:pt idx="135">
                  <c:v>3.3808285472658559E-2</c:v>
                </c:pt>
                <c:pt idx="136">
                  <c:v>3.8991977915574502E-2</c:v>
                </c:pt>
                <c:pt idx="137">
                  <c:v>5.5460907411329745E-2</c:v>
                </c:pt>
                <c:pt idx="138">
                  <c:v>5.1314160631439031E-2</c:v>
                </c:pt>
                <c:pt idx="139">
                  <c:v>2.1535032730982472E-2</c:v>
                </c:pt>
                <c:pt idx="140">
                  <c:v>5.3252207167918654E-2</c:v>
                </c:pt>
                <c:pt idx="141">
                  <c:v>4.0912712717227996E-2</c:v>
                </c:pt>
                <c:pt idx="142">
                  <c:v>6.0996097665046621E-2</c:v>
                </c:pt>
                <c:pt idx="143">
                  <c:v>3.9350925797503634E-2</c:v>
                </c:pt>
                <c:pt idx="144">
                  <c:v>2.3785164031343144E-2</c:v>
                </c:pt>
                <c:pt idx="145">
                  <c:v>3.593920097926652E-2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C-4168-86CE-C3694B16F8E5}"/>
            </c:ext>
          </c:extLst>
        </c:ser>
        <c:ser>
          <c:idx val="2"/>
          <c:order val="2"/>
          <c:tx>
            <c:strRef>
              <c:f>'Elektronik- Fonksiyon Hatası 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strRef>
              <c:f>'Elektronik- Fonksiyon Hatası '!$A$2:$A$148</c:f>
              <c:strCache>
                <c:ptCount val="147"/>
                <c:pt idx="0">
                  <c:v>7.01.2026</c:v>
                </c:pt>
                <c:pt idx="1">
                  <c:v>8.01.2026</c:v>
                </c:pt>
                <c:pt idx="2">
                  <c:v>9.01.2026</c:v>
                </c:pt>
                <c:pt idx="3">
                  <c:v>13.01.2026</c:v>
                </c:pt>
                <c:pt idx="4">
                  <c:v>15.01.2026</c:v>
                </c:pt>
                <c:pt idx="5">
                  <c:v>16.01.2026</c:v>
                </c:pt>
                <c:pt idx="6">
                  <c:v>19.01.2026</c:v>
                </c:pt>
                <c:pt idx="7">
                  <c:v>21.01.2026</c:v>
                </c:pt>
                <c:pt idx="8">
                  <c:v>23.01.2026</c:v>
                </c:pt>
                <c:pt idx="9">
                  <c:v>26.01.2026</c:v>
                </c:pt>
                <c:pt idx="10">
                  <c:v>28.01.2026</c:v>
                </c:pt>
                <c:pt idx="11">
                  <c:v>30.01.2026</c:v>
                </c:pt>
                <c:pt idx="12">
                  <c:v>2.02.2026</c:v>
                </c:pt>
                <c:pt idx="13">
                  <c:v>3.02.2026</c:v>
                </c:pt>
                <c:pt idx="14">
                  <c:v>4.02.2026</c:v>
                </c:pt>
                <c:pt idx="15">
                  <c:v>5.02.2026</c:v>
                </c:pt>
                <c:pt idx="16">
                  <c:v>6.02.2026</c:v>
                </c:pt>
                <c:pt idx="17">
                  <c:v>9.02.2026</c:v>
                </c:pt>
                <c:pt idx="18">
                  <c:v>10.02.2026</c:v>
                </c:pt>
                <c:pt idx="19">
                  <c:v>11.02.2026</c:v>
                </c:pt>
                <c:pt idx="20">
                  <c:v>12.02.2026</c:v>
                </c:pt>
                <c:pt idx="21">
                  <c:v>13.02.2026</c:v>
                </c:pt>
                <c:pt idx="22">
                  <c:v>16.02.2026</c:v>
                </c:pt>
                <c:pt idx="23">
                  <c:v>17.02.2026</c:v>
                </c:pt>
                <c:pt idx="24">
                  <c:v>18.02.2026</c:v>
                </c:pt>
                <c:pt idx="25">
                  <c:v>19.02.2026</c:v>
                </c:pt>
                <c:pt idx="26">
                  <c:v>23.02.2026</c:v>
                </c:pt>
                <c:pt idx="27">
                  <c:v>24.02.2026</c:v>
                </c:pt>
                <c:pt idx="28">
                  <c:v>25.02.2026</c:v>
                </c:pt>
                <c:pt idx="29">
                  <c:v>26.02.2026</c:v>
                </c:pt>
                <c:pt idx="30">
                  <c:v>28.02.2026</c:v>
                </c:pt>
                <c:pt idx="31">
                  <c:v>2.03.2026</c:v>
                </c:pt>
                <c:pt idx="32">
                  <c:v>3.03.2026</c:v>
                </c:pt>
                <c:pt idx="33">
                  <c:v>5.03.2026</c:v>
                </c:pt>
                <c:pt idx="34">
                  <c:v>6.03.2026</c:v>
                </c:pt>
                <c:pt idx="35">
                  <c:v>9.03.2026</c:v>
                </c:pt>
                <c:pt idx="36">
                  <c:v>10.03.2026</c:v>
                </c:pt>
                <c:pt idx="37">
                  <c:v>11.03.2026</c:v>
                </c:pt>
                <c:pt idx="38">
                  <c:v>12.03.2026</c:v>
                </c:pt>
                <c:pt idx="39">
                  <c:v>13.03.2026</c:v>
                </c:pt>
                <c:pt idx="40">
                  <c:v>15.03.2026</c:v>
                </c:pt>
                <c:pt idx="41">
                  <c:v>16.03.2026</c:v>
                </c:pt>
                <c:pt idx="42">
                  <c:v>17.03.2026</c:v>
                </c:pt>
                <c:pt idx="43">
                  <c:v>18.03.2026</c:v>
                </c:pt>
                <c:pt idx="44">
                  <c:v>20.03.2026</c:v>
                </c:pt>
                <c:pt idx="45">
                  <c:v>24.03.2026</c:v>
                </c:pt>
                <c:pt idx="46">
                  <c:v>25.03.2026</c:v>
                </c:pt>
                <c:pt idx="47">
                  <c:v>26.03.2026</c:v>
                </c:pt>
                <c:pt idx="48">
                  <c:v>27.03.2026</c:v>
                </c:pt>
                <c:pt idx="49">
                  <c:v>30.03.2026</c:v>
                </c:pt>
                <c:pt idx="50">
                  <c:v>31.03.2026</c:v>
                </c:pt>
                <c:pt idx="51">
                  <c:v>1.04.2026</c:v>
                </c:pt>
                <c:pt idx="52">
                  <c:v>3.04.2026</c:v>
                </c:pt>
                <c:pt idx="53">
                  <c:v>6.04.2026</c:v>
                </c:pt>
                <c:pt idx="54">
                  <c:v>7.04.2026</c:v>
                </c:pt>
                <c:pt idx="55">
                  <c:v>8.04.2026</c:v>
                </c:pt>
                <c:pt idx="56">
                  <c:v>9.04.2026</c:v>
                </c:pt>
                <c:pt idx="57">
                  <c:v>10.04.2026</c:v>
                </c:pt>
                <c:pt idx="58">
                  <c:v>13.04.2026</c:v>
                </c:pt>
                <c:pt idx="59">
                  <c:v>14.04.2026</c:v>
                </c:pt>
                <c:pt idx="60">
                  <c:v>15.04.2026</c:v>
                </c:pt>
                <c:pt idx="61">
                  <c:v>16.04.2026</c:v>
                </c:pt>
                <c:pt idx="62">
                  <c:v>20.04.2026</c:v>
                </c:pt>
                <c:pt idx="63">
                  <c:v>21.04.2026</c:v>
                </c:pt>
                <c:pt idx="64">
                  <c:v>22.04.2026</c:v>
                </c:pt>
                <c:pt idx="65">
                  <c:v>24.04.2026</c:v>
                </c:pt>
                <c:pt idx="66">
                  <c:v>27.04.2026</c:v>
                </c:pt>
                <c:pt idx="67">
                  <c:v>28.04.2026</c:v>
                </c:pt>
                <c:pt idx="68">
                  <c:v>29.04.2026</c:v>
                </c:pt>
                <c:pt idx="69">
                  <c:v>30.04.2026</c:v>
                </c:pt>
                <c:pt idx="70">
                  <c:v>5.05.2026</c:v>
                </c:pt>
                <c:pt idx="71">
                  <c:v>6.05.2026</c:v>
                </c:pt>
                <c:pt idx="72">
                  <c:v>7.05.2026</c:v>
                </c:pt>
                <c:pt idx="73">
                  <c:v>8.05.2026</c:v>
                </c:pt>
                <c:pt idx="74">
                  <c:v>11.05.2026</c:v>
                </c:pt>
                <c:pt idx="75">
                  <c:v>14.05.2026</c:v>
                </c:pt>
                <c:pt idx="76">
                  <c:v>18.05.2026</c:v>
                </c:pt>
                <c:pt idx="77">
                  <c:v>21.05.2026</c:v>
                </c:pt>
                <c:pt idx="78">
                  <c:v>3.06.2026</c:v>
                </c:pt>
                <c:pt idx="79">
                  <c:v>4.06.2026</c:v>
                </c:pt>
                <c:pt idx="80">
                  <c:v>5.06.2026</c:v>
                </c:pt>
                <c:pt idx="81">
                  <c:v>8.06.2026</c:v>
                </c:pt>
                <c:pt idx="82">
                  <c:v>9.06.2026</c:v>
                </c:pt>
                <c:pt idx="83">
                  <c:v>10.06.2026</c:v>
                </c:pt>
                <c:pt idx="84">
                  <c:v>11.06.2026</c:v>
                </c:pt>
                <c:pt idx="85">
                  <c:v>12.06.2026</c:v>
                </c:pt>
                <c:pt idx="86">
                  <c:v>13.06.2026</c:v>
                </c:pt>
                <c:pt idx="87">
                  <c:v>15.06.2026</c:v>
                </c:pt>
                <c:pt idx="88">
                  <c:v>16.06.2026</c:v>
                </c:pt>
                <c:pt idx="89">
                  <c:v>17.06.2026</c:v>
                </c:pt>
                <c:pt idx="90">
                  <c:v>18.06.2026</c:v>
                </c:pt>
                <c:pt idx="91">
                  <c:v>19.06.2026</c:v>
                </c:pt>
                <c:pt idx="92">
                  <c:v>22.06.2026</c:v>
                </c:pt>
                <c:pt idx="93">
                  <c:v>23.06.2026</c:v>
                </c:pt>
                <c:pt idx="94">
                  <c:v>24.06.2026</c:v>
                </c:pt>
                <c:pt idx="95">
                  <c:v>25.06.2026</c:v>
                </c:pt>
                <c:pt idx="96">
                  <c:v>26.06.2026</c:v>
                </c:pt>
                <c:pt idx="97">
                  <c:v>30.06.2026</c:v>
                </c:pt>
                <c:pt idx="98">
                  <c:v>2.07.2026</c:v>
                </c:pt>
                <c:pt idx="99">
                  <c:v>3.07.2026</c:v>
                </c:pt>
                <c:pt idx="100">
                  <c:v>4.07.2026</c:v>
                </c:pt>
                <c:pt idx="101">
                  <c:v>6.07.2026</c:v>
                </c:pt>
                <c:pt idx="102">
                  <c:v>7.07.2026</c:v>
                </c:pt>
                <c:pt idx="103">
                  <c:v>8.07.2026</c:v>
                </c:pt>
                <c:pt idx="104">
                  <c:v>9.07.2026</c:v>
                </c:pt>
                <c:pt idx="105">
                  <c:v>10.07.2026</c:v>
                </c:pt>
                <c:pt idx="106">
                  <c:v>13.07.2026</c:v>
                </c:pt>
                <c:pt idx="107">
                  <c:v>14.07.2026</c:v>
                </c:pt>
                <c:pt idx="108">
                  <c:v>16.07.2026</c:v>
                </c:pt>
                <c:pt idx="109">
                  <c:v>17.07.2026</c:v>
                </c:pt>
                <c:pt idx="110">
                  <c:v>18.07.2026</c:v>
                </c:pt>
                <c:pt idx="111">
                  <c:v>20.07.2026</c:v>
                </c:pt>
                <c:pt idx="112">
                  <c:v>21.07.2026</c:v>
                </c:pt>
                <c:pt idx="113">
                  <c:v>22.07.2026</c:v>
                </c:pt>
                <c:pt idx="114">
                  <c:v>23.07.2026</c:v>
                </c:pt>
                <c:pt idx="115">
                  <c:v>24.07.2026</c:v>
                </c:pt>
                <c:pt idx="116">
                  <c:v>25.07.2026</c:v>
                </c:pt>
                <c:pt idx="117">
                  <c:v>26.07.2026</c:v>
                </c:pt>
                <c:pt idx="118">
                  <c:v>27.07.2026</c:v>
                </c:pt>
                <c:pt idx="119">
                  <c:v>28.07.2026</c:v>
                </c:pt>
                <c:pt idx="120">
                  <c:v>29.07.2026</c:v>
                </c:pt>
                <c:pt idx="121">
                  <c:v>30.07.2026</c:v>
                </c:pt>
                <c:pt idx="122">
                  <c:v>31.07.2026</c:v>
                </c:pt>
                <c:pt idx="123">
                  <c:v>3.08.2026</c:v>
                </c:pt>
                <c:pt idx="124">
                  <c:v>4.08.2026</c:v>
                </c:pt>
                <c:pt idx="125">
                  <c:v>5.08.2026</c:v>
                </c:pt>
                <c:pt idx="126">
                  <c:v>6.08.2026</c:v>
                </c:pt>
                <c:pt idx="127">
                  <c:v>7.08.2026</c:v>
                </c:pt>
                <c:pt idx="128">
                  <c:v>8.08.2026</c:v>
                </c:pt>
                <c:pt idx="129">
                  <c:v>10.08.2026</c:v>
                </c:pt>
                <c:pt idx="130">
                  <c:v>11.08.2026</c:v>
                </c:pt>
                <c:pt idx="131">
                  <c:v>12.08.2026</c:v>
                </c:pt>
                <c:pt idx="132">
                  <c:v>13.08.2026</c:v>
                </c:pt>
                <c:pt idx="133">
                  <c:v>14.08.2026</c:v>
                </c:pt>
                <c:pt idx="134">
                  <c:v>16.08.2026</c:v>
                </c:pt>
                <c:pt idx="135">
                  <c:v>17.08.2026</c:v>
                </c:pt>
                <c:pt idx="136">
                  <c:v>18.08.2026</c:v>
                </c:pt>
                <c:pt idx="137">
                  <c:v>19.08.2026</c:v>
                </c:pt>
                <c:pt idx="138">
                  <c:v>20.08.2026</c:v>
                </c:pt>
                <c:pt idx="139">
                  <c:v>21.08.2026</c:v>
                </c:pt>
                <c:pt idx="140">
                  <c:v>22.08.2026</c:v>
                </c:pt>
                <c:pt idx="141">
                  <c:v>24.08.2026</c:v>
                </c:pt>
                <c:pt idx="142">
                  <c:v>25.08.2026</c:v>
                </c:pt>
                <c:pt idx="143">
                  <c:v>26.08.2026</c:v>
                </c:pt>
                <c:pt idx="144">
                  <c:v>27.08.2026</c:v>
                </c:pt>
                <c:pt idx="145">
                  <c:v>28.08.2026</c:v>
                </c:pt>
                <c:pt idx="146">
                  <c:v>Genel Toplam</c:v>
                </c:pt>
              </c:strCache>
            </c:strRef>
          </c:cat>
          <c:val>
            <c:numRef>
              <c:f>'Elektronik- Fonksiyon Hatası '!$F$2:$F$148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4C-4168-86CE-C3694B16F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16560"/>
        <c:axId val="368527983"/>
      </c:lineChart>
      <c:catAx>
        <c:axId val="17451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527983"/>
        <c:crosses val="autoZero"/>
        <c:auto val="1"/>
        <c:lblAlgn val="ctr"/>
        <c:lblOffset val="100"/>
        <c:noMultiLvlLbl val="0"/>
      </c:catAx>
      <c:valAx>
        <c:axId val="368527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4516560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Marking Error </a:t>
            </a:r>
            <a:r>
              <a:rPr lang="tr-TR"/>
              <a:t>p-Chart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'Markalama etiiket hatası'!$D$1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'Markalama etiiket hatası'!$A$2:$A$494</c:f>
              <c:numCache>
                <c:formatCode>m/d/yyyy</c:formatCode>
                <c:ptCount val="493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46035</c:v>
                </c:pt>
                <c:pt idx="5">
                  <c:v>46037</c:v>
                </c:pt>
                <c:pt idx="6">
                  <c:v>46038</c:v>
                </c:pt>
                <c:pt idx="7">
                  <c:v>46041</c:v>
                </c:pt>
                <c:pt idx="8">
                  <c:v>46042</c:v>
                </c:pt>
                <c:pt idx="9">
                  <c:v>46043</c:v>
                </c:pt>
                <c:pt idx="10">
                  <c:v>46045</c:v>
                </c:pt>
                <c:pt idx="11">
                  <c:v>46048</c:v>
                </c:pt>
                <c:pt idx="12">
                  <c:v>46050</c:v>
                </c:pt>
                <c:pt idx="13">
                  <c:v>46052</c:v>
                </c:pt>
                <c:pt idx="14">
                  <c:v>46055</c:v>
                </c:pt>
                <c:pt idx="15">
                  <c:v>46056</c:v>
                </c:pt>
                <c:pt idx="16">
                  <c:v>46057</c:v>
                </c:pt>
                <c:pt idx="17">
                  <c:v>46058</c:v>
                </c:pt>
                <c:pt idx="18">
                  <c:v>46059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46069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46076</c:v>
                </c:pt>
                <c:pt idx="29">
                  <c:v>46077</c:v>
                </c:pt>
                <c:pt idx="30">
                  <c:v>46078</c:v>
                </c:pt>
                <c:pt idx="31">
                  <c:v>46079</c:v>
                </c:pt>
                <c:pt idx="32">
                  <c:v>46081</c:v>
                </c:pt>
                <c:pt idx="33">
                  <c:v>46083</c:v>
                </c:pt>
                <c:pt idx="34">
                  <c:v>46084</c:v>
                </c:pt>
                <c:pt idx="35">
                  <c:v>46086</c:v>
                </c:pt>
                <c:pt idx="36">
                  <c:v>46087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46101</c:v>
                </c:pt>
                <c:pt idx="47">
                  <c:v>46105</c:v>
                </c:pt>
                <c:pt idx="48">
                  <c:v>46106</c:v>
                </c:pt>
                <c:pt idx="49">
                  <c:v>46107</c:v>
                </c:pt>
                <c:pt idx="50">
                  <c:v>46108</c:v>
                </c:pt>
                <c:pt idx="51">
                  <c:v>46111</c:v>
                </c:pt>
                <c:pt idx="52">
                  <c:v>46112</c:v>
                </c:pt>
                <c:pt idx="53">
                  <c:v>46113</c:v>
                </c:pt>
                <c:pt idx="54">
                  <c:v>46115</c:v>
                </c:pt>
                <c:pt idx="55">
                  <c:v>46118</c:v>
                </c:pt>
                <c:pt idx="56">
                  <c:v>46119</c:v>
                </c:pt>
                <c:pt idx="57">
                  <c:v>46120</c:v>
                </c:pt>
                <c:pt idx="58">
                  <c:v>46121</c:v>
                </c:pt>
                <c:pt idx="59">
                  <c:v>46122</c:v>
                </c:pt>
                <c:pt idx="60">
                  <c:v>46125</c:v>
                </c:pt>
                <c:pt idx="61">
                  <c:v>46126</c:v>
                </c:pt>
                <c:pt idx="62">
                  <c:v>46127</c:v>
                </c:pt>
                <c:pt idx="63">
                  <c:v>46128</c:v>
                </c:pt>
                <c:pt idx="64">
                  <c:v>46132</c:v>
                </c:pt>
                <c:pt idx="65">
                  <c:v>46133</c:v>
                </c:pt>
                <c:pt idx="66">
                  <c:v>46134</c:v>
                </c:pt>
                <c:pt idx="67">
                  <c:v>46136</c:v>
                </c:pt>
                <c:pt idx="68">
                  <c:v>46139</c:v>
                </c:pt>
                <c:pt idx="69">
                  <c:v>46140</c:v>
                </c:pt>
                <c:pt idx="70">
                  <c:v>46141</c:v>
                </c:pt>
                <c:pt idx="71">
                  <c:v>46142</c:v>
                </c:pt>
                <c:pt idx="72">
                  <c:v>46147</c:v>
                </c:pt>
                <c:pt idx="73">
                  <c:v>46148</c:v>
                </c:pt>
                <c:pt idx="74">
                  <c:v>46149</c:v>
                </c:pt>
                <c:pt idx="75">
                  <c:v>46150</c:v>
                </c:pt>
                <c:pt idx="76">
                  <c:v>46153</c:v>
                </c:pt>
                <c:pt idx="77">
                  <c:v>46156</c:v>
                </c:pt>
                <c:pt idx="78">
                  <c:v>46160</c:v>
                </c:pt>
                <c:pt idx="79">
                  <c:v>46163</c:v>
                </c:pt>
                <c:pt idx="80">
                  <c:v>46176</c:v>
                </c:pt>
                <c:pt idx="81">
                  <c:v>46177</c:v>
                </c:pt>
                <c:pt idx="82">
                  <c:v>46178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46188</c:v>
                </c:pt>
                <c:pt idx="90">
                  <c:v>46189</c:v>
                </c:pt>
                <c:pt idx="91">
                  <c:v>46190</c:v>
                </c:pt>
                <c:pt idx="92">
                  <c:v>46191</c:v>
                </c:pt>
                <c:pt idx="93">
                  <c:v>46192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46203</c:v>
                </c:pt>
                <c:pt idx="100">
                  <c:v>46205</c:v>
                </c:pt>
                <c:pt idx="101">
                  <c:v>46206</c:v>
                </c:pt>
                <c:pt idx="102">
                  <c:v>46207</c:v>
                </c:pt>
                <c:pt idx="103">
                  <c:v>46209</c:v>
                </c:pt>
                <c:pt idx="104">
                  <c:v>46210</c:v>
                </c:pt>
                <c:pt idx="105">
                  <c:v>46211</c:v>
                </c:pt>
                <c:pt idx="106">
                  <c:v>46212</c:v>
                </c:pt>
                <c:pt idx="107">
                  <c:v>46213</c:v>
                </c:pt>
                <c:pt idx="108">
                  <c:v>46216</c:v>
                </c:pt>
                <c:pt idx="109">
                  <c:v>46217</c:v>
                </c:pt>
                <c:pt idx="110">
                  <c:v>46219</c:v>
                </c:pt>
                <c:pt idx="111">
                  <c:v>46220</c:v>
                </c:pt>
                <c:pt idx="112">
                  <c:v>46221</c:v>
                </c:pt>
                <c:pt idx="113">
                  <c:v>46223</c:v>
                </c:pt>
                <c:pt idx="114">
                  <c:v>46224</c:v>
                </c:pt>
                <c:pt idx="115">
                  <c:v>46225</c:v>
                </c:pt>
                <c:pt idx="116">
                  <c:v>46226</c:v>
                </c:pt>
                <c:pt idx="117">
                  <c:v>46227</c:v>
                </c:pt>
                <c:pt idx="118">
                  <c:v>46228</c:v>
                </c:pt>
                <c:pt idx="119">
                  <c:v>46229</c:v>
                </c:pt>
                <c:pt idx="120">
                  <c:v>46230</c:v>
                </c:pt>
                <c:pt idx="121">
                  <c:v>46231</c:v>
                </c:pt>
                <c:pt idx="122">
                  <c:v>46232</c:v>
                </c:pt>
                <c:pt idx="123">
                  <c:v>46233</c:v>
                </c:pt>
                <c:pt idx="124">
                  <c:v>46234</c:v>
                </c:pt>
                <c:pt idx="125">
                  <c:v>46237</c:v>
                </c:pt>
                <c:pt idx="126">
                  <c:v>46238</c:v>
                </c:pt>
                <c:pt idx="127">
                  <c:v>46239</c:v>
                </c:pt>
                <c:pt idx="128">
                  <c:v>46240</c:v>
                </c:pt>
                <c:pt idx="129">
                  <c:v>46241</c:v>
                </c:pt>
                <c:pt idx="130">
                  <c:v>46242</c:v>
                </c:pt>
                <c:pt idx="131">
                  <c:v>46244</c:v>
                </c:pt>
                <c:pt idx="132">
                  <c:v>46245</c:v>
                </c:pt>
                <c:pt idx="133">
                  <c:v>46246</c:v>
                </c:pt>
                <c:pt idx="134">
                  <c:v>46247</c:v>
                </c:pt>
                <c:pt idx="135">
                  <c:v>46248</c:v>
                </c:pt>
                <c:pt idx="136">
                  <c:v>46250</c:v>
                </c:pt>
                <c:pt idx="137">
                  <c:v>46251</c:v>
                </c:pt>
                <c:pt idx="138">
                  <c:v>46252</c:v>
                </c:pt>
                <c:pt idx="139">
                  <c:v>46253</c:v>
                </c:pt>
                <c:pt idx="140">
                  <c:v>46254</c:v>
                </c:pt>
                <c:pt idx="141">
                  <c:v>46255</c:v>
                </c:pt>
                <c:pt idx="142">
                  <c:v>46256</c:v>
                </c:pt>
                <c:pt idx="143">
                  <c:v>46258</c:v>
                </c:pt>
                <c:pt idx="144">
                  <c:v>46259</c:v>
                </c:pt>
                <c:pt idx="145">
                  <c:v>46260</c:v>
                </c:pt>
                <c:pt idx="146">
                  <c:v>46261</c:v>
                </c:pt>
                <c:pt idx="147">
                  <c:v>46262</c:v>
                </c:pt>
              </c:numCache>
            </c:numRef>
          </c:cat>
          <c:val>
            <c:numRef>
              <c:f>'Markalama etiiket hatası'!$D$2:$D$494</c:f>
              <c:numCache>
                <c:formatCode>General</c:formatCode>
                <c:ptCount val="493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0.1111111111111111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0.14285714285714285</c:v>
                </c:pt>
                <c:pt idx="18">
                  <c:v>5.5555555555555552E-2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0.33333333333333331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0.14285714285714285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0.33333333333333331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3.5595105672969968E-3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68-48A0-89BA-C62B3CE64609}"/>
            </c:ext>
          </c:extLst>
        </c:ser>
        <c:ser>
          <c:idx val="1"/>
          <c:order val="1"/>
          <c:tx>
            <c:strRef>
              <c:f>'Markalama etiiket hatası'!$E$1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'Markalama etiiket hatası'!$A$2:$A$494</c:f>
              <c:numCache>
                <c:formatCode>m/d/yyyy</c:formatCode>
                <c:ptCount val="493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46035</c:v>
                </c:pt>
                <c:pt idx="5">
                  <c:v>46037</c:v>
                </c:pt>
                <c:pt idx="6">
                  <c:v>46038</c:v>
                </c:pt>
                <c:pt idx="7">
                  <c:v>46041</c:v>
                </c:pt>
                <c:pt idx="8">
                  <c:v>46042</c:v>
                </c:pt>
                <c:pt idx="9">
                  <c:v>46043</c:v>
                </c:pt>
                <c:pt idx="10">
                  <c:v>46045</c:v>
                </c:pt>
                <c:pt idx="11">
                  <c:v>46048</c:v>
                </c:pt>
                <c:pt idx="12">
                  <c:v>46050</c:v>
                </c:pt>
                <c:pt idx="13">
                  <c:v>46052</c:v>
                </c:pt>
                <c:pt idx="14">
                  <c:v>46055</c:v>
                </c:pt>
                <c:pt idx="15">
                  <c:v>46056</c:v>
                </c:pt>
                <c:pt idx="16">
                  <c:v>46057</c:v>
                </c:pt>
                <c:pt idx="17">
                  <c:v>46058</c:v>
                </c:pt>
                <c:pt idx="18">
                  <c:v>46059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46069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46076</c:v>
                </c:pt>
                <c:pt idx="29">
                  <c:v>46077</c:v>
                </c:pt>
                <c:pt idx="30">
                  <c:v>46078</c:v>
                </c:pt>
                <c:pt idx="31">
                  <c:v>46079</c:v>
                </c:pt>
                <c:pt idx="32">
                  <c:v>46081</c:v>
                </c:pt>
                <c:pt idx="33">
                  <c:v>46083</c:v>
                </c:pt>
                <c:pt idx="34">
                  <c:v>46084</c:v>
                </c:pt>
                <c:pt idx="35">
                  <c:v>46086</c:v>
                </c:pt>
                <c:pt idx="36">
                  <c:v>46087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46101</c:v>
                </c:pt>
                <c:pt idx="47">
                  <c:v>46105</c:v>
                </c:pt>
                <c:pt idx="48">
                  <c:v>46106</c:v>
                </c:pt>
                <c:pt idx="49">
                  <c:v>46107</c:v>
                </c:pt>
                <c:pt idx="50">
                  <c:v>46108</c:v>
                </c:pt>
                <c:pt idx="51">
                  <c:v>46111</c:v>
                </c:pt>
                <c:pt idx="52">
                  <c:v>46112</c:v>
                </c:pt>
                <c:pt idx="53">
                  <c:v>46113</c:v>
                </c:pt>
                <c:pt idx="54">
                  <c:v>46115</c:v>
                </c:pt>
                <c:pt idx="55">
                  <c:v>46118</c:v>
                </c:pt>
                <c:pt idx="56">
                  <c:v>46119</c:v>
                </c:pt>
                <c:pt idx="57">
                  <c:v>46120</c:v>
                </c:pt>
                <c:pt idx="58">
                  <c:v>46121</c:v>
                </c:pt>
                <c:pt idx="59">
                  <c:v>46122</c:v>
                </c:pt>
                <c:pt idx="60">
                  <c:v>46125</c:v>
                </c:pt>
                <c:pt idx="61">
                  <c:v>46126</c:v>
                </c:pt>
                <c:pt idx="62">
                  <c:v>46127</c:v>
                </c:pt>
                <c:pt idx="63">
                  <c:v>46128</c:v>
                </c:pt>
                <c:pt idx="64">
                  <c:v>46132</c:v>
                </c:pt>
                <c:pt idx="65">
                  <c:v>46133</c:v>
                </c:pt>
                <c:pt idx="66">
                  <c:v>46134</c:v>
                </c:pt>
                <c:pt idx="67">
                  <c:v>46136</c:v>
                </c:pt>
                <c:pt idx="68">
                  <c:v>46139</c:v>
                </c:pt>
                <c:pt idx="69">
                  <c:v>46140</c:v>
                </c:pt>
                <c:pt idx="70">
                  <c:v>46141</c:v>
                </c:pt>
                <c:pt idx="71">
                  <c:v>46142</c:v>
                </c:pt>
                <c:pt idx="72">
                  <c:v>46147</c:v>
                </c:pt>
                <c:pt idx="73">
                  <c:v>46148</c:v>
                </c:pt>
                <c:pt idx="74">
                  <c:v>46149</c:v>
                </c:pt>
                <c:pt idx="75">
                  <c:v>46150</c:v>
                </c:pt>
                <c:pt idx="76">
                  <c:v>46153</c:v>
                </c:pt>
                <c:pt idx="77">
                  <c:v>46156</c:v>
                </c:pt>
                <c:pt idx="78">
                  <c:v>46160</c:v>
                </c:pt>
                <c:pt idx="79">
                  <c:v>46163</c:v>
                </c:pt>
                <c:pt idx="80">
                  <c:v>46176</c:v>
                </c:pt>
                <c:pt idx="81">
                  <c:v>46177</c:v>
                </c:pt>
                <c:pt idx="82">
                  <c:v>46178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46188</c:v>
                </c:pt>
                <c:pt idx="90">
                  <c:v>46189</c:v>
                </c:pt>
                <c:pt idx="91">
                  <c:v>46190</c:v>
                </c:pt>
                <c:pt idx="92">
                  <c:v>46191</c:v>
                </c:pt>
                <c:pt idx="93">
                  <c:v>46192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46203</c:v>
                </c:pt>
                <c:pt idx="100">
                  <c:v>46205</c:v>
                </c:pt>
                <c:pt idx="101">
                  <c:v>46206</c:v>
                </c:pt>
                <c:pt idx="102">
                  <c:v>46207</c:v>
                </c:pt>
                <c:pt idx="103">
                  <c:v>46209</c:v>
                </c:pt>
                <c:pt idx="104">
                  <c:v>46210</c:v>
                </c:pt>
                <c:pt idx="105">
                  <c:v>46211</c:v>
                </c:pt>
                <c:pt idx="106">
                  <c:v>46212</c:v>
                </c:pt>
                <c:pt idx="107">
                  <c:v>46213</c:v>
                </c:pt>
                <c:pt idx="108">
                  <c:v>46216</c:v>
                </c:pt>
                <c:pt idx="109">
                  <c:v>46217</c:v>
                </c:pt>
                <c:pt idx="110">
                  <c:v>46219</c:v>
                </c:pt>
                <c:pt idx="111">
                  <c:v>46220</c:v>
                </c:pt>
                <c:pt idx="112">
                  <c:v>46221</c:v>
                </c:pt>
                <c:pt idx="113">
                  <c:v>46223</c:v>
                </c:pt>
                <c:pt idx="114">
                  <c:v>46224</c:v>
                </c:pt>
                <c:pt idx="115">
                  <c:v>46225</c:v>
                </c:pt>
                <c:pt idx="116">
                  <c:v>46226</c:v>
                </c:pt>
                <c:pt idx="117">
                  <c:v>46227</c:v>
                </c:pt>
                <c:pt idx="118">
                  <c:v>46228</c:v>
                </c:pt>
                <c:pt idx="119">
                  <c:v>46229</c:v>
                </c:pt>
                <c:pt idx="120">
                  <c:v>46230</c:v>
                </c:pt>
                <c:pt idx="121">
                  <c:v>46231</c:v>
                </c:pt>
                <c:pt idx="122">
                  <c:v>46232</c:v>
                </c:pt>
                <c:pt idx="123">
                  <c:v>46233</c:v>
                </c:pt>
                <c:pt idx="124">
                  <c:v>46234</c:v>
                </c:pt>
                <c:pt idx="125">
                  <c:v>46237</c:v>
                </c:pt>
                <c:pt idx="126">
                  <c:v>46238</c:v>
                </c:pt>
                <c:pt idx="127">
                  <c:v>46239</c:v>
                </c:pt>
                <c:pt idx="128">
                  <c:v>46240</c:v>
                </c:pt>
                <c:pt idx="129">
                  <c:v>46241</c:v>
                </c:pt>
                <c:pt idx="130">
                  <c:v>46242</c:v>
                </c:pt>
                <c:pt idx="131">
                  <c:v>46244</c:v>
                </c:pt>
                <c:pt idx="132">
                  <c:v>46245</c:v>
                </c:pt>
                <c:pt idx="133">
                  <c:v>46246</c:v>
                </c:pt>
                <c:pt idx="134">
                  <c:v>46247</c:v>
                </c:pt>
                <c:pt idx="135">
                  <c:v>46248</c:v>
                </c:pt>
                <c:pt idx="136">
                  <c:v>46250</c:v>
                </c:pt>
                <c:pt idx="137">
                  <c:v>46251</c:v>
                </c:pt>
                <c:pt idx="138">
                  <c:v>46252</c:v>
                </c:pt>
                <c:pt idx="139">
                  <c:v>46253</c:v>
                </c:pt>
                <c:pt idx="140">
                  <c:v>46254</c:v>
                </c:pt>
                <c:pt idx="141">
                  <c:v>46255</c:v>
                </c:pt>
                <c:pt idx="142">
                  <c:v>46256</c:v>
                </c:pt>
                <c:pt idx="143">
                  <c:v>46258</c:v>
                </c:pt>
                <c:pt idx="144">
                  <c:v>46259</c:v>
                </c:pt>
                <c:pt idx="145">
                  <c:v>46260</c:v>
                </c:pt>
                <c:pt idx="146">
                  <c:v>46261</c:v>
                </c:pt>
                <c:pt idx="147">
                  <c:v>46262</c:v>
                </c:pt>
              </c:numCache>
            </c:numRef>
          </c:cat>
          <c:val>
            <c:numRef>
              <c:f>'Markalama etiiket hatası'!$E$2:$E$494</c:f>
              <c:numCache>
                <c:formatCode>General</c:formatCode>
                <c:ptCount val="493"/>
                <c:pt idx="0">
                  <c:v>9.2892544863637627E-2</c:v>
                </c:pt>
                <c:pt idx="1">
                  <c:v>0.12989549923712276</c:v>
                </c:pt>
                <c:pt idx="2">
                  <c:v>3.4200488543916267E-2</c:v>
                </c:pt>
                <c:pt idx="3">
                  <c:v>0.18222557915997825</c:v>
                </c:pt>
                <c:pt idx="4">
                  <c:v>2.3411295966483801E-2</c:v>
                </c:pt>
                <c:pt idx="5">
                  <c:v>7.6499627634158407E-2</c:v>
                </c:pt>
                <c:pt idx="6">
                  <c:v>0.12989549923712276</c:v>
                </c:pt>
                <c:pt idx="7">
                  <c:v>5.5135961965815328E-2</c:v>
                </c:pt>
                <c:pt idx="8">
                  <c:v>0.18222557915997825</c:v>
                </c:pt>
                <c:pt idx="9">
                  <c:v>1.3610262171279235E-2</c:v>
                </c:pt>
                <c:pt idx="10">
                  <c:v>6.3114866764857419E-2</c:v>
                </c:pt>
                <c:pt idx="11">
                  <c:v>0.12989549923712276</c:v>
                </c:pt>
                <c:pt idx="12">
                  <c:v>1.6038090080414406E-2</c:v>
                </c:pt>
                <c:pt idx="13">
                  <c:v>7.6499627634158407E-2</c:v>
                </c:pt>
                <c:pt idx="14">
                  <c:v>0.12989549923712276</c:v>
                </c:pt>
                <c:pt idx="15">
                  <c:v>0.18222557915997825</c:v>
                </c:pt>
                <c:pt idx="16">
                  <c:v>7.1088937027560209E-2</c:v>
                </c:pt>
                <c:pt idx="17">
                  <c:v>7.1088937027560209E-2</c:v>
                </c:pt>
                <c:pt idx="18">
                  <c:v>4.5671506790572247E-2</c:v>
                </c:pt>
                <c:pt idx="19">
                  <c:v>3.9292724285833247E-2</c:v>
                </c:pt>
                <c:pt idx="20">
                  <c:v>9.2892544863637627E-2</c:v>
                </c:pt>
                <c:pt idx="21">
                  <c:v>0.12989549923712276</c:v>
                </c:pt>
                <c:pt idx="22">
                  <c:v>2.2825568221001565E-2</c:v>
                </c:pt>
                <c:pt idx="23">
                  <c:v>4.8226027715467308E-2</c:v>
                </c:pt>
                <c:pt idx="24">
                  <c:v>7.1088937027560209E-2</c:v>
                </c:pt>
                <c:pt idx="25">
                  <c:v>5.7429357139099267E-2</c:v>
                </c:pt>
                <c:pt idx="26">
                  <c:v>7.6499627634158407E-2</c:v>
                </c:pt>
                <c:pt idx="27">
                  <c:v>6.6727504902209883E-2</c:v>
                </c:pt>
                <c:pt idx="28">
                  <c:v>5.5135961965815328E-2</c:v>
                </c:pt>
                <c:pt idx="29">
                  <c:v>8.3461405496472102E-2</c:v>
                </c:pt>
                <c:pt idx="30">
                  <c:v>0.10671241336433367</c:v>
                </c:pt>
                <c:pt idx="31">
                  <c:v>0.10671241336433367</c:v>
                </c:pt>
                <c:pt idx="32">
                  <c:v>3.7324223797428599E-2</c:v>
                </c:pt>
                <c:pt idx="33">
                  <c:v>0.12989549923712276</c:v>
                </c:pt>
                <c:pt idx="34">
                  <c:v>1.9051823496536415E-2</c:v>
                </c:pt>
                <c:pt idx="35">
                  <c:v>8.3461405496472102E-2</c:v>
                </c:pt>
                <c:pt idx="36">
                  <c:v>5.1310025946987387E-2</c:v>
                </c:pt>
                <c:pt idx="37">
                  <c:v>0.12989549923712276</c:v>
                </c:pt>
                <c:pt idx="38">
                  <c:v>0.12989549923712276</c:v>
                </c:pt>
                <c:pt idx="39">
                  <c:v>6.3114866764857419E-2</c:v>
                </c:pt>
                <c:pt idx="40">
                  <c:v>4.0813961171781057E-2</c:v>
                </c:pt>
                <c:pt idx="41">
                  <c:v>0.18222557915997825</c:v>
                </c:pt>
                <c:pt idx="42">
                  <c:v>0.18222557915997825</c:v>
                </c:pt>
                <c:pt idx="43">
                  <c:v>3.4661280986730873E-2</c:v>
                </c:pt>
                <c:pt idx="44">
                  <c:v>4.6892397186207281E-2</c:v>
                </c:pt>
                <c:pt idx="45">
                  <c:v>3.6179322576955934E-2</c:v>
                </c:pt>
                <c:pt idx="46">
                  <c:v>0.18222557915997825</c:v>
                </c:pt>
                <c:pt idx="47">
                  <c:v>2.1426117426565121E-2</c:v>
                </c:pt>
                <c:pt idx="48">
                  <c:v>2.765083834170377E-2</c:v>
                </c:pt>
                <c:pt idx="49">
                  <c:v>0.18222557915997825</c:v>
                </c:pt>
                <c:pt idx="50">
                  <c:v>4.0813961171781057E-2</c:v>
                </c:pt>
                <c:pt idx="51">
                  <c:v>0.12989549923712276</c:v>
                </c:pt>
                <c:pt idx="52">
                  <c:v>0.18222557915997825</c:v>
                </c:pt>
                <c:pt idx="53">
                  <c:v>0.12989549923712276</c:v>
                </c:pt>
                <c:pt idx="54">
                  <c:v>6.6727504902209883E-2</c:v>
                </c:pt>
                <c:pt idx="55">
                  <c:v>0.12989549923712276</c:v>
                </c:pt>
                <c:pt idx="56">
                  <c:v>5.1310025946987387E-2</c:v>
                </c:pt>
                <c:pt idx="57">
                  <c:v>6.6727504902209883E-2</c:v>
                </c:pt>
                <c:pt idx="58">
                  <c:v>3.9292724285833247E-2</c:v>
                </c:pt>
                <c:pt idx="59">
                  <c:v>0.18222557915997825</c:v>
                </c:pt>
                <c:pt idx="60">
                  <c:v>3.0805830594627971E-2</c:v>
                </c:pt>
                <c:pt idx="61">
                  <c:v>5.1310025946987387E-2</c:v>
                </c:pt>
                <c:pt idx="62">
                  <c:v>8.3461405496472102E-2</c:v>
                </c:pt>
                <c:pt idx="63">
                  <c:v>2.8101182507682849E-2</c:v>
                </c:pt>
                <c:pt idx="64">
                  <c:v>6.6727504902209883E-2</c:v>
                </c:pt>
                <c:pt idx="65">
                  <c:v>4.4548317811255088E-2</c:v>
                </c:pt>
                <c:pt idx="66">
                  <c:v>0.12989549923712276</c:v>
                </c:pt>
                <c:pt idx="67">
                  <c:v>2.8577764321488383E-2</c:v>
                </c:pt>
                <c:pt idx="68">
                  <c:v>4.1651244379697271E-2</c:v>
                </c:pt>
                <c:pt idx="69">
                  <c:v>2.4615508678934622E-2</c:v>
                </c:pt>
                <c:pt idx="70">
                  <c:v>6.3114866764857419E-2</c:v>
                </c:pt>
                <c:pt idx="71">
                  <c:v>6.6727504902209883E-2</c:v>
                </c:pt>
                <c:pt idx="72">
                  <c:v>0.18222557915997825</c:v>
                </c:pt>
                <c:pt idx="73">
                  <c:v>8.3461405496472102E-2</c:v>
                </c:pt>
                <c:pt idx="74">
                  <c:v>7.6499627634158407E-2</c:v>
                </c:pt>
                <c:pt idx="75">
                  <c:v>0.12989549923712276</c:v>
                </c:pt>
                <c:pt idx="76">
                  <c:v>0.18222557915997825</c:v>
                </c:pt>
                <c:pt idx="77">
                  <c:v>2.4914190237224375E-2</c:v>
                </c:pt>
                <c:pt idx="78">
                  <c:v>0.10671241336433367</c:v>
                </c:pt>
                <c:pt idx="79">
                  <c:v>0.12989549923712276</c:v>
                </c:pt>
                <c:pt idx="80">
                  <c:v>6.6727504902209883E-2</c:v>
                </c:pt>
                <c:pt idx="81">
                  <c:v>4.5671506790572247E-2</c:v>
                </c:pt>
                <c:pt idx="82">
                  <c:v>7.6499627634158407E-2</c:v>
                </c:pt>
                <c:pt idx="83">
                  <c:v>3.3759588176641306E-2</c:v>
                </c:pt>
                <c:pt idx="84">
                  <c:v>5.3112562220872267E-2</c:v>
                </c:pt>
                <c:pt idx="85">
                  <c:v>2.5387044892590381E-2</c:v>
                </c:pt>
                <c:pt idx="86">
                  <c:v>1.8295639538302232E-2</c:v>
                </c:pt>
                <c:pt idx="87">
                  <c:v>9.2892544863637627E-2</c:v>
                </c:pt>
                <c:pt idx="88">
                  <c:v>4.9690891113417429E-2</c:v>
                </c:pt>
                <c:pt idx="89">
                  <c:v>8.3461405496472102E-2</c:v>
                </c:pt>
                <c:pt idx="90">
                  <c:v>4.4548317811255088E-2</c:v>
                </c:pt>
                <c:pt idx="91">
                  <c:v>6.3114866764857419E-2</c:v>
                </c:pt>
                <c:pt idx="92">
                  <c:v>7.1088937027560209E-2</c:v>
                </c:pt>
                <c:pt idx="93">
                  <c:v>3.6179322576955934E-2</c:v>
                </c:pt>
                <c:pt idx="94">
                  <c:v>0.10671241336433367</c:v>
                </c:pt>
                <c:pt idx="95">
                  <c:v>2.5225953876752139E-2</c:v>
                </c:pt>
                <c:pt idx="96">
                  <c:v>5.5135961965815328E-2</c:v>
                </c:pt>
                <c:pt idx="97">
                  <c:v>2.962063514353069E-2</c:v>
                </c:pt>
                <c:pt idx="98">
                  <c:v>0.10671241336433367</c:v>
                </c:pt>
                <c:pt idx="99">
                  <c:v>5.5135961965815328E-2</c:v>
                </c:pt>
                <c:pt idx="100">
                  <c:v>4.8226027715467308E-2</c:v>
                </c:pt>
                <c:pt idx="101">
                  <c:v>3.794381149964255E-2</c:v>
                </c:pt>
                <c:pt idx="102">
                  <c:v>1.5497139412219595E-2</c:v>
                </c:pt>
                <c:pt idx="103">
                  <c:v>4.0029569100727698E-2</c:v>
                </c:pt>
                <c:pt idx="104">
                  <c:v>5.7429357139099267E-2</c:v>
                </c:pt>
                <c:pt idx="105">
                  <c:v>2.6625200840357213E-2</c:v>
                </c:pt>
                <c:pt idx="106">
                  <c:v>3.1462462621263752E-2</c:v>
                </c:pt>
                <c:pt idx="107">
                  <c:v>9.2892544863637627E-2</c:v>
                </c:pt>
                <c:pt idx="108">
                  <c:v>0.10671241336433367</c:v>
                </c:pt>
                <c:pt idx="109">
                  <c:v>6.6727504902209883E-2</c:v>
                </c:pt>
                <c:pt idx="110">
                  <c:v>3.1809096434334362E-2</c:v>
                </c:pt>
                <c:pt idx="111">
                  <c:v>6.3114866764857419E-2</c:v>
                </c:pt>
                <c:pt idx="112">
                  <c:v>0.10671241336433367</c:v>
                </c:pt>
                <c:pt idx="113">
                  <c:v>3.1128283475704607E-2</c:v>
                </c:pt>
                <c:pt idx="114">
                  <c:v>1.7182670580962484E-2</c:v>
                </c:pt>
                <c:pt idx="115">
                  <c:v>9.2892544863637627E-2</c:v>
                </c:pt>
                <c:pt idx="116">
                  <c:v>4.0029569100727698E-2</c:v>
                </c:pt>
                <c:pt idx="117">
                  <c:v>4.1651244379697271E-2</c:v>
                </c:pt>
                <c:pt idx="118">
                  <c:v>0.12989549923712276</c:v>
                </c:pt>
                <c:pt idx="119">
                  <c:v>0.18222557915997825</c:v>
                </c:pt>
                <c:pt idx="120">
                  <c:v>3.6179322576955934E-2</c:v>
                </c:pt>
                <c:pt idx="121">
                  <c:v>7.1088937027560209E-2</c:v>
                </c:pt>
                <c:pt idx="122">
                  <c:v>4.3510458031884545E-2</c:v>
                </c:pt>
                <c:pt idx="123">
                  <c:v>4.3510458031884545E-2</c:v>
                </c:pt>
                <c:pt idx="124">
                  <c:v>3.3337188666077204E-2</c:v>
                </c:pt>
                <c:pt idx="125">
                  <c:v>9.2892544863637627E-2</c:v>
                </c:pt>
                <c:pt idx="126">
                  <c:v>6.6727504902209883E-2</c:v>
                </c:pt>
                <c:pt idx="127">
                  <c:v>1.7343897021500802E-2</c:v>
                </c:pt>
                <c:pt idx="128">
                  <c:v>2.4470792200406963E-2</c:v>
                </c:pt>
                <c:pt idx="129">
                  <c:v>3.4200488543916267E-2</c:v>
                </c:pt>
                <c:pt idx="130">
                  <c:v>0.18222557915997825</c:v>
                </c:pt>
                <c:pt idx="131">
                  <c:v>4.1651244379697271E-2</c:v>
                </c:pt>
                <c:pt idx="132">
                  <c:v>3.3759588176641306E-2</c:v>
                </c:pt>
                <c:pt idx="133">
                  <c:v>1.7065395859349641E-2</c:v>
                </c:pt>
                <c:pt idx="134">
                  <c:v>6.3114866764857419E-2</c:v>
                </c:pt>
                <c:pt idx="135">
                  <c:v>3.6179322576955934E-2</c:v>
                </c:pt>
                <c:pt idx="136">
                  <c:v>0.12989549923712276</c:v>
                </c:pt>
                <c:pt idx="137">
                  <c:v>2.5551783337785863E-2</c:v>
                </c:pt>
                <c:pt idx="138">
                  <c:v>2.962063514353069E-2</c:v>
                </c:pt>
                <c:pt idx="139">
                  <c:v>4.2547643112351E-2</c:v>
                </c:pt>
                <c:pt idx="140">
                  <c:v>3.9292724285833247E-2</c:v>
                </c:pt>
                <c:pt idx="141">
                  <c:v>1.591810095206158E-2</c:v>
                </c:pt>
                <c:pt idx="142">
                  <c:v>4.0813961171781057E-2</c:v>
                </c:pt>
                <c:pt idx="143">
                  <c:v>3.1128283475704607E-2</c:v>
                </c:pt>
                <c:pt idx="144">
                  <c:v>4.6892397186207281E-2</c:v>
                </c:pt>
                <c:pt idx="145">
                  <c:v>2.9902385219106944E-2</c:v>
                </c:pt>
                <c:pt idx="146">
                  <c:v>1.7684303500815679E-2</c:v>
                </c:pt>
                <c:pt idx="147">
                  <c:v>2.7224409463357885E-2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68-48A0-89BA-C62B3CE64609}"/>
            </c:ext>
          </c:extLst>
        </c:ser>
        <c:ser>
          <c:idx val="2"/>
          <c:order val="2"/>
          <c:tx>
            <c:strRef>
              <c:f>'Markalama etiiket hatası'!$F$1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'Markalama etiiket hatası'!$A$2:$A$494</c:f>
              <c:numCache>
                <c:formatCode>m/d/yyyy</c:formatCode>
                <c:ptCount val="493"/>
                <c:pt idx="0">
                  <c:v>46028</c:v>
                </c:pt>
                <c:pt idx="1">
                  <c:v>46029</c:v>
                </c:pt>
                <c:pt idx="2">
                  <c:v>46030</c:v>
                </c:pt>
                <c:pt idx="3">
                  <c:v>46031</c:v>
                </c:pt>
                <c:pt idx="4">
                  <c:v>46035</c:v>
                </c:pt>
                <c:pt idx="5">
                  <c:v>46037</c:v>
                </c:pt>
                <c:pt idx="6">
                  <c:v>46038</c:v>
                </c:pt>
                <c:pt idx="7">
                  <c:v>46041</c:v>
                </c:pt>
                <c:pt idx="8">
                  <c:v>46042</c:v>
                </c:pt>
                <c:pt idx="9">
                  <c:v>46043</c:v>
                </c:pt>
                <c:pt idx="10">
                  <c:v>46045</c:v>
                </c:pt>
                <c:pt idx="11">
                  <c:v>46048</c:v>
                </c:pt>
                <c:pt idx="12">
                  <c:v>46050</c:v>
                </c:pt>
                <c:pt idx="13">
                  <c:v>46052</c:v>
                </c:pt>
                <c:pt idx="14">
                  <c:v>46055</c:v>
                </c:pt>
                <c:pt idx="15">
                  <c:v>46056</c:v>
                </c:pt>
                <c:pt idx="16">
                  <c:v>46057</c:v>
                </c:pt>
                <c:pt idx="17">
                  <c:v>46058</c:v>
                </c:pt>
                <c:pt idx="18">
                  <c:v>46059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46069</c:v>
                </c:pt>
                <c:pt idx="25">
                  <c:v>46070</c:v>
                </c:pt>
                <c:pt idx="26">
                  <c:v>46071</c:v>
                </c:pt>
                <c:pt idx="27">
                  <c:v>46072</c:v>
                </c:pt>
                <c:pt idx="28">
                  <c:v>46076</c:v>
                </c:pt>
                <c:pt idx="29">
                  <c:v>46077</c:v>
                </c:pt>
                <c:pt idx="30">
                  <c:v>46078</c:v>
                </c:pt>
                <c:pt idx="31">
                  <c:v>46079</c:v>
                </c:pt>
                <c:pt idx="32">
                  <c:v>46081</c:v>
                </c:pt>
                <c:pt idx="33">
                  <c:v>46083</c:v>
                </c:pt>
                <c:pt idx="34">
                  <c:v>46084</c:v>
                </c:pt>
                <c:pt idx="35">
                  <c:v>46086</c:v>
                </c:pt>
                <c:pt idx="36">
                  <c:v>46087</c:v>
                </c:pt>
                <c:pt idx="37">
                  <c:v>46090</c:v>
                </c:pt>
                <c:pt idx="38">
                  <c:v>46091</c:v>
                </c:pt>
                <c:pt idx="39">
                  <c:v>46092</c:v>
                </c:pt>
                <c:pt idx="40">
                  <c:v>46093</c:v>
                </c:pt>
                <c:pt idx="41">
                  <c:v>46094</c:v>
                </c:pt>
                <c:pt idx="42">
                  <c:v>46096</c:v>
                </c:pt>
                <c:pt idx="43">
                  <c:v>46097</c:v>
                </c:pt>
                <c:pt idx="44">
                  <c:v>46098</c:v>
                </c:pt>
                <c:pt idx="45">
                  <c:v>46099</c:v>
                </c:pt>
                <c:pt idx="46">
                  <c:v>46101</c:v>
                </c:pt>
                <c:pt idx="47">
                  <c:v>46105</c:v>
                </c:pt>
                <c:pt idx="48">
                  <c:v>46106</c:v>
                </c:pt>
                <c:pt idx="49">
                  <c:v>46107</c:v>
                </c:pt>
                <c:pt idx="50">
                  <c:v>46108</c:v>
                </c:pt>
                <c:pt idx="51">
                  <c:v>46111</c:v>
                </c:pt>
                <c:pt idx="52">
                  <c:v>46112</c:v>
                </c:pt>
                <c:pt idx="53">
                  <c:v>46113</c:v>
                </c:pt>
                <c:pt idx="54">
                  <c:v>46115</c:v>
                </c:pt>
                <c:pt idx="55">
                  <c:v>46118</c:v>
                </c:pt>
                <c:pt idx="56">
                  <c:v>46119</c:v>
                </c:pt>
                <c:pt idx="57">
                  <c:v>46120</c:v>
                </c:pt>
                <c:pt idx="58">
                  <c:v>46121</c:v>
                </c:pt>
                <c:pt idx="59">
                  <c:v>46122</c:v>
                </c:pt>
                <c:pt idx="60">
                  <c:v>46125</c:v>
                </c:pt>
                <c:pt idx="61">
                  <c:v>46126</c:v>
                </c:pt>
                <c:pt idx="62">
                  <c:v>46127</c:v>
                </c:pt>
                <c:pt idx="63">
                  <c:v>46128</c:v>
                </c:pt>
                <c:pt idx="64">
                  <c:v>46132</c:v>
                </c:pt>
                <c:pt idx="65">
                  <c:v>46133</c:v>
                </c:pt>
                <c:pt idx="66">
                  <c:v>46134</c:v>
                </c:pt>
                <c:pt idx="67">
                  <c:v>46136</c:v>
                </c:pt>
                <c:pt idx="68">
                  <c:v>46139</c:v>
                </c:pt>
                <c:pt idx="69">
                  <c:v>46140</c:v>
                </c:pt>
                <c:pt idx="70">
                  <c:v>46141</c:v>
                </c:pt>
                <c:pt idx="71">
                  <c:v>46142</c:v>
                </c:pt>
                <c:pt idx="72">
                  <c:v>46147</c:v>
                </c:pt>
                <c:pt idx="73">
                  <c:v>46148</c:v>
                </c:pt>
                <c:pt idx="74">
                  <c:v>46149</c:v>
                </c:pt>
                <c:pt idx="75">
                  <c:v>46150</c:v>
                </c:pt>
                <c:pt idx="76">
                  <c:v>46153</c:v>
                </c:pt>
                <c:pt idx="77">
                  <c:v>46156</c:v>
                </c:pt>
                <c:pt idx="78">
                  <c:v>46160</c:v>
                </c:pt>
                <c:pt idx="79">
                  <c:v>46163</c:v>
                </c:pt>
                <c:pt idx="80">
                  <c:v>46176</c:v>
                </c:pt>
                <c:pt idx="81">
                  <c:v>46177</c:v>
                </c:pt>
                <c:pt idx="82">
                  <c:v>46178</c:v>
                </c:pt>
                <c:pt idx="83">
                  <c:v>46181</c:v>
                </c:pt>
                <c:pt idx="84">
                  <c:v>46182</c:v>
                </c:pt>
                <c:pt idx="85">
                  <c:v>46183</c:v>
                </c:pt>
                <c:pt idx="86">
                  <c:v>46184</c:v>
                </c:pt>
                <c:pt idx="87">
                  <c:v>46185</c:v>
                </c:pt>
                <c:pt idx="88">
                  <c:v>46186</c:v>
                </c:pt>
                <c:pt idx="89">
                  <c:v>46188</c:v>
                </c:pt>
                <c:pt idx="90">
                  <c:v>46189</c:v>
                </c:pt>
                <c:pt idx="91">
                  <c:v>46190</c:v>
                </c:pt>
                <c:pt idx="92">
                  <c:v>46191</c:v>
                </c:pt>
                <c:pt idx="93">
                  <c:v>46192</c:v>
                </c:pt>
                <c:pt idx="94">
                  <c:v>46195</c:v>
                </c:pt>
                <c:pt idx="95">
                  <c:v>46196</c:v>
                </c:pt>
                <c:pt idx="96">
                  <c:v>46197</c:v>
                </c:pt>
                <c:pt idx="97">
                  <c:v>46198</c:v>
                </c:pt>
                <c:pt idx="98">
                  <c:v>46199</c:v>
                </c:pt>
                <c:pt idx="99">
                  <c:v>46203</c:v>
                </c:pt>
                <c:pt idx="100">
                  <c:v>46205</c:v>
                </c:pt>
                <c:pt idx="101">
                  <c:v>46206</c:v>
                </c:pt>
                <c:pt idx="102">
                  <c:v>46207</c:v>
                </c:pt>
                <c:pt idx="103">
                  <c:v>46209</c:v>
                </c:pt>
                <c:pt idx="104">
                  <c:v>46210</c:v>
                </c:pt>
                <c:pt idx="105">
                  <c:v>46211</c:v>
                </c:pt>
                <c:pt idx="106">
                  <c:v>46212</c:v>
                </c:pt>
                <c:pt idx="107">
                  <c:v>46213</c:v>
                </c:pt>
                <c:pt idx="108">
                  <c:v>46216</c:v>
                </c:pt>
                <c:pt idx="109">
                  <c:v>46217</c:v>
                </c:pt>
                <c:pt idx="110">
                  <c:v>46219</c:v>
                </c:pt>
                <c:pt idx="111">
                  <c:v>46220</c:v>
                </c:pt>
                <c:pt idx="112">
                  <c:v>46221</c:v>
                </c:pt>
                <c:pt idx="113">
                  <c:v>46223</c:v>
                </c:pt>
                <c:pt idx="114">
                  <c:v>46224</c:v>
                </c:pt>
                <c:pt idx="115">
                  <c:v>46225</c:v>
                </c:pt>
                <c:pt idx="116">
                  <c:v>46226</c:v>
                </c:pt>
                <c:pt idx="117">
                  <c:v>46227</c:v>
                </c:pt>
                <c:pt idx="118">
                  <c:v>46228</c:v>
                </c:pt>
                <c:pt idx="119">
                  <c:v>46229</c:v>
                </c:pt>
                <c:pt idx="120">
                  <c:v>46230</c:v>
                </c:pt>
                <c:pt idx="121">
                  <c:v>46231</c:v>
                </c:pt>
                <c:pt idx="122">
                  <c:v>46232</c:v>
                </c:pt>
                <c:pt idx="123">
                  <c:v>46233</c:v>
                </c:pt>
                <c:pt idx="124">
                  <c:v>46234</c:v>
                </c:pt>
                <c:pt idx="125">
                  <c:v>46237</c:v>
                </c:pt>
                <c:pt idx="126">
                  <c:v>46238</c:v>
                </c:pt>
                <c:pt idx="127">
                  <c:v>46239</c:v>
                </c:pt>
                <c:pt idx="128">
                  <c:v>46240</c:v>
                </c:pt>
                <c:pt idx="129">
                  <c:v>46241</c:v>
                </c:pt>
                <c:pt idx="130">
                  <c:v>46242</c:v>
                </c:pt>
                <c:pt idx="131">
                  <c:v>46244</c:v>
                </c:pt>
                <c:pt idx="132">
                  <c:v>46245</c:v>
                </c:pt>
                <c:pt idx="133">
                  <c:v>46246</c:v>
                </c:pt>
                <c:pt idx="134">
                  <c:v>46247</c:v>
                </c:pt>
                <c:pt idx="135">
                  <c:v>46248</c:v>
                </c:pt>
                <c:pt idx="136">
                  <c:v>46250</c:v>
                </c:pt>
                <c:pt idx="137">
                  <c:v>46251</c:v>
                </c:pt>
                <c:pt idx="138">
                  <c:v>46252</c:v>
                </c:pt>
                <c:pt idx="139">
                  <c:v>46253</c:v>
                </c:pt>
                <c:pt idx="140">
                  <c:v>46254</c:v>
                </c:pt>
                <c:pt idx="141">
                  <c:v>46255</c:v>
                </c:pt>
                <c:pt idx="142">
                  <c:v>46256</c:v>
                </c:pt>
                <c:pt idx="143">
                  <c:v>46258</c:v>
                </c:pt>
                <c:pt idx="144">
                  <c:v>46259</c:v>
                </c:pt>
                <c:pt idx="145">
                  <c:v>46260</c:v>
                </c:pt>
                <c:pt idx="146">
                  <c:v>46261</c:v>
                </c:pt>
                <c:pt idx="147">
                  <c:v>46262</c:v>
                </c:pt>
              </c:numCache>
            </c:numRef>
          </c:cat>
          <c:val>
            <c:numRef>
              <c:f>'Markalama etiiket hatası'!$F$2:$F$494</c:f>
              <c:numCache>
                <c:formatCode>General</c:formatCode>
                <c:ptCount val="49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68-48A0-89BA-C62B3CE646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64816"/>
        <c:axId val="368423823"/>
      </c:lineChart>
      <c:dateAx>
        <c:axId val="17456481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423823"/>
        <c:crosses val="autoZero"/>
        <c:auto val="1"/>
        <c:lblOffset val="100"/>
        <c:baseTimeUnit val="days"/>
      </c:dateAx>
      <c:valAx>
        <c:axId val="368423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456481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ADC Error </a:t>
            </a:r>
            <a:r>
              <a:rPr lang="tr-TR" baseline="0"/>
              <a:t>P- Chart</a:t>
            </a:r>
            <a:endParaRPr lang="tr-TR"/>
          </a:p>
        </c:rich>
      </c:tx>
      <c:layout>
        <c:manualLayout>
          <c:xMode val="edge"/>
          <c:yMode val="edge"/>
          <c:x val="0.46412370112035428"/>
          <c:y val="1.3795540672947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'ADC Hatası'!$D$1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'ADC Hatası'!$A$2:$A$148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'ADC Hatası'!$D$2:$D$148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0.1111111111111111</c:v>
                </c:pt>
                <c:pt idx="9">
                  <c:v>0.125</c:v>
                </c:pt>
                <c:pt idx="10">
                  <c:v>0</c:v>
                </c:pt>
                <c:pt idx="11">
                  <c:v>0.14285714285714285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0.12</c:v>
                </c:pt>
                <c:pt idx="17">
                  <c:v>0</c:v>
                </c:pt>
                <c:pt idx="18">
                  <c:v>0.125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0.04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0.33333333333333331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3.3112582781456954E-3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7-4B66-B994-087BE8482529}"/>
            </c:ext>
          </c:extLst>
        </c:ser>
        <c:ser>
          <c:idx val="1"/>
          <c:order val="1"/>
          <c:tx>
            <c:strRef>
              <c:f>'ADC Hatası'!$E$1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'ADC Hatası'!$A$2:$A$148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'ADC Hatası'!$E$2:$E$148</c:f>
              <c:numCache>
                <c:formatCode>General</c:formatCode>
                <c:ptCount val="147"/>
                <c:pt idx="0">
                  <c:v>0.12517725973230426</c:v>
                </c:pt>
                <c:pt idx="1">
                  <c:v>3.2868105111508714E-2</c:v>
                </c:pt>
                <c:pt idx="2">
                  <c:v>0.17565581032679606</c:v>
                </c:pt>
                <c:pt idx="3">
                  <c:v>2.2460652950217961E-2</c:v>
                </c:pt>
                <c:pt idx="4">
                  <c:v>7.3670627022767485E-2</c:v>
                </c:pt>
                <c:pt idx="5">
                  <c:v>0.12517725973230426</c:v>
                </c:pt>
                <c:pt idx="6">
                  <c:v>5.3062845037472585E-2</c:v>
                </c:pt>
                <c:pt idx="7">
                  <c:v>1.3006396793168291E-2</c:v>
                </c:pt>
                <c:pt idx="8">
                  <c:v>6.0759442294362496E-2</c:v>
                </c:pt>
                <c:pt idx="9">
                  <c:v>6.4244259005224985E-2</c:v>
                </c:pt>
                <c:pt idx="10">
                  <c:v>1.5348323924307131E-2</c:v>
                </c:pt>
                <c:pt idx="11">
                  <c:v>6.8451376069225175E-2</c:v>
                </c:pt>
                <c:pt idx="12">
                  <c:v>0.12517725973230426</c:v>
                </c:pt>
                <c:pt idx="13">
                  <c:v>0.17565581032679606</c:v>
                </c:pt>
                <c:pt idx="14">
                  <c:v>6.8451376069225175E-2</c:v>
                </c:pt>
                <c:pt idx="15">
                  <c:v>7.3670627022767485E-2</c:v>
                </c:pt>
                <c:pt idx="16">
                  <c:v>3.778016868787578E-2</c:v>
                </c:pt>
                <c:pt idx="17">
                  <c:v>3.778016868787578E-2</c:v>
                </c:pt>
                <c:pt idx="18">
                  <c:v>3.8490942650456592E-2</c:v>
                </c:pt>
                <c:pt idx="19">
                  <c:v>0.12517725973230426</c:v>
                </c:pt>
                <c:pt idx="20">
                  <c:v>2.1895649272055999E-2</c:v>
                </c:pt>
                <c:pt idx="21">
                  <c:v>4.6397396290308292E-2</c:v>
                </c:pt>
                <c:pt idx="22">
                  <c:v>6.8451376069225175E-2</c:v>
                </c:pt>
                <c:pt idx="23">
                  <c:v>5.5275095896986641E-2</c:v>
                </c:pt>
                <c:pt idx="24">
                  <c:v>7.3670627022767485E-2</c:v>
                </c:pt>
                <c:pt idx="25">
                  <c:v>6.4244259005224985E-2</c:v>
                </c:pt>
                <c:pt idx="26">
                  <c:v>5.3062845037472585E-2</c:v>
                </c:pt>
                <c:pt idx="27">
                  <c:v>8.038608506465228E-2</c:v>
                </c:pt>
                <c:pt idx="28">
                  <c:v>0.10281443179679947</c:v>
                </c:pt>
                <c:pt idx="29">
                  <c:v>0.12517725973230426</c:v>
                </c:pt>
                <c:pt idx="30">
                  <c:v>3.5881317173685437E-2</c:v>
                </c:pt>
                <c:pt idx="31">
                  <c:v>0.12517725973230426</c:v>
                </c:pt>
                <c:pt idx="32">
                  <c:v>1.8255426205601031E-2</c:v>
                </c:pt>
                <c:pt idx="33">
                  <c:v>3.778016868787578E-2</c:v>
                </c:pt>
                <c:pt idx="34">
                  <c:v>0.12517725973230426</c:v>
                </c:pt>
                <c:pt idx="35">
                  <c:v>0.12517725973230426</c:v>
                </c:pt>
                <c:pt idx="36">
                  <c:v>0.12517725973230426</c:v>
                </c:pt>
                <c:pt idx="37">
                  <c:v>6.0759442294362496E-2</c:v>
                </c:pt>
                <c:pt idx="38">
                  <c:v>3.9247581564499062E-2</c:v>
                </c:pt>
                <c:pt idx="39">
                  <c:v>0.17565581032679606</c:v>
                </c:pt>
                <c:pt idx="40">
                  <c:v>0.17565581032679606</c:v>
                </c:pt>
                <c:pt idx="41">
                  <c:v>3.3312593915509517E-2</c:v>
                </c:pt>
                <c:pt idx="42">
                  <c:v>4.5110951930871938E-2</c:v>
                </c:pt>
                <c:pt idx="43">
                  <c:v>3.477692455153536E-2</c:v>
                </c:pt>
                <c:pt idx="44">
                  <c:v>0.17565581032679606</c:v>
                </c:pt>
                <c:pt idx="45">
                  <c:v>2.0545713483010736E-2</c:v>
                </c:pt>
                <c:pt idx="46">
                  <c:v>2.6550192935643525E-2</c:v>
                </c:pt>
                <c:pt idx="47">
                  <c:v>0.17565581032679606</c:v>
                </c:pt>
                <c:pt idx="48">
                  <c:v>3.9247581564499062E-2</c:v>
                </c:pt>
                <c:pt idx="49">
                  <c:v>0.12517725973230426</c:v>
                </c:pt>
                <c:pt idx="50">
                  <c:v>0.17565581032679606</c:v>
                </c:pt>
                <c:pt idx="51">
                  <c:v>0.12517725973230426</c:v>
                </c:pt>
                <c:pt idx="52">
                  <c:v>6.4244259005224985E-2</c:v>
                </c:pt>
                <c:pt idx="53">
                  <c:v>0.12517725973230426</c:v>
                </c:pt>
                <c:pt idx="54">
                  <c:v>4.9372277295508464E-2</c:v>
                </c:pt>
                <c:pt idx="55">
                  <c:v>6.4244259005224985E-2</c:v>
                </c:pt>
                <c:pt idx="56">
                  <c:v>3.778016868787578E-2</c:v>
                </c:pt>
                <c:pt idx="57">
                  <c:v>0.17565581032679606</c:v>
                </c:pt>
                <c:pt idx="58">
                  <c:v>2.9593556070178051E-2</c:v>
                </c:pt>
                <c:pt idx="59">
                  <c:v>4.9372277295508464E-2</c:v>
                </c:pt>
                <c:pt idx="60">
                  <c:v>8.038608506465228E-2</c:v>
                </c:pt>
                <c:pt idx="61">
                  <c:v>2.6984603141032498E-2</c:v>
                </c:pt>
                <c:pt idx="62">
                  <c:v>6.4244259005224985E-2</c:v>
                </c:pt>
                <c:pt idx="63">
                  <c:v>4.2849810164980053E-2</c:v>
                </c:pt>
                <c:pt idx="64">
                  <c:v>0.12517725973230426</c:v>
                </c:pt>
                <c:pt idx="65">
                  <c:v>2.7444322660591082E-2</c:v>
                </c:pt>
                <c:pt idx="66">
                  <c:v>4.0055240234904747E-2</c:v>
                </c:pt>
                <c:pt idx="67">
                  <c:v>2.3622258520505455E-2</c:v>
                </c:pt>
                <c:pt idx="68">
                  <c:v>6.0759442294362496E-2</c:v>
                </c:pt>
                <c:pt idx="69">
                  <c:v>6.4244259005224985E-2</c:v>
                </c:pt>
                <c:pt idx="70">
                  <c:v>0.17565581032679606</c:v>
                </c:pt>
                <c:pt idx="71">
                  <c:v>8.038608506465228E-2</c:v>
                </c:pt>
                <c:pt idx="72">
                  <c:v>7.3670627022767485E-2</c:v>
                </c:pt>
                <c:pt idx="73">
                  <c:v>0.12517725973230426</c:v>
                </c:pt>
                <c:pt idx="74">
                  <c:v>0.17565581032679606</c:v>
                </c:pt>
                <c:pt idx="75">
                  <c:v>2.3910372205292438E-2</c:v>
                </c:pt>
                <c:pt idx="76">
                  <c:v>0.10281443179679947</c:v>
                </c:pt>
                <c:pt idx="77">
                  <c:v>0.12517725973230426</c:v>
                </c:pt>
                <c:pt idx="78">
                  <c:v>6.4244259005224985E-2</c:v>
                </c:pt>
                <c:pt idx="79">
                  <c:v>4.3933258762865218E-2</c:v>
                </c:pt>
                <c:pt idx="80">
                  <c:v>7.3670627022767485E-2</c:v>
                </c:pt>
                <c:pt idx="81">
                  <c:v>3.2442804566785124E-2</c:v>
                </c:pt>
                <c:pt idx="82">
                  <c:v>5.1111036698013493E-2</c:v>
                </c:pt>
                <c:pt idx="83">
                  <c:v>2.4366496439765638E-2</c:v>
                </c:pt>
                <c:pt idx="84">
                  <c:v>1.752599735223909E-2</c:v>
                </c:pt>
                <c:pt idx="85">
                  <c:v>8.9483534302470885E-2</c:v>
                </c:pt>
                <c:pt idx="86">
                  <c:v>4.7810430271079049E-2</c:v>
                </c:pt>
                <c:pt idx="87">
                  <c:v>8.038608506465228E-2</c:v>
                </c:pt>
                <c:pt idx="88">
                  <c:v>4.2849810164980053E-2</c:v>
                </c:pt>
                <c:pt idx="89">
                  <c:v>6.0759442294362496E-2</c:v>
                </c:pt>
                <c:pt idx="90">
                  <c:v>6.8451376069225175E-2</c:v>
                </c:pt>
                <c:pt idx="91">
                  <c:v>3.477692455153536E-2</c:v>
                </c:pt>
                <c:pt idx="92">
                  <c:v>0.10281443179679947</c:v>
                </c:pt>
                <c:pt idx="93">
                  <c:v>2.4211105104508815E-2</c:v>
                </c:pt>
                <c:pt idx="94">
                  <c:v>5.3062845037472585E-2</c:v>
                </c:pt>
                <c:pt idx="95">
                  <c:v>2.845029489743053E-2</c:v>
                </c:pt>
                <c:pt idx="96">
                  <c:v>0.10281443179679947</c:v>
                </c:pt>
                <c:pt idx="97">
                  <c:v>5.3062845037472585E-2</c:v>
                </c:pt>
                <c:pt idx="98">
                  <c:v>4.6397396290308292E-2</c:v>
                </c:pt>
                <c:pt idx="99">
                  <c:v>3.6478982784363623E-2</c:v>
                </c:pt>
                <c:pt idx="100">
                  <c:v>1.4826513032486386E-2</c:v>
                </c:pt>
                <c:pt idx="101">
                  <c:v>3.8490942650456592E-2</c:v>
                </c:pt>
                <c:pt idx="102">
                  <c:v>5.5275095896986641E-2</c:v>
                </c:pt>
                <c:pt idx="103">
                  <c:v>2.556084427461237E-2</c:v>
                </c:pt>
                <c:pt idx="104">
                  <c:v>3.0226955312590096E-2</c:v>
                </c:pt>
                <c:pt idx="105">
                  <c:v>8.9483534302470885E-2</c:v>
                </c:pt>
                <c:pt idx="106">
                  <c:v>0.10281443179679947</c:v>
                </c:pt>
                <c:pt idx="107">
                  <c:v>6.4244259005224985E-2</c:v>
                </c:pt>
                <c:pt idx="108">
                  <c:v>3.0561324617904371E-2</c:v>
                </c:pt>
                <c:pt idx="109">
                  <c:v>6.0759442294362496E-2</c:v>
                </c:pt>
                <c:pt idx="110">
                  <c:v>0.10281443179679947</c:v>
                </c:pt>
                <c:pt idx="111">
                  <c:v>2.9904600006968558E-2</c:v>
                </c:pt>
                <c:pt idx="112">
                  <c:v>1.6452407174161875E-2</c:v>
                </c:pt>
                <c:pt idx="113">
                  <c:v>8.9483534302470885E-2</c:v>
                </c:pt>
                <c:pt idx="114">
                  <c:v>3.8490942650456592E-2</c:v>
                </c:pt>
                <c:pt idx="115">
                  <c:v>4.0055240234904747E-2</c:v>
                </c:pt>
                <c:pt idx="116">
                  <c:v>0.12517725973230426</c:v>
                </c:pt>
                <c:pt idx="117">
                  <c:v>0.17565581032679606</c:v>
                </c:pt>
                <c:pt idx="118">
                  <c:v>3.477692455153536E-2</c:v>
                </c:pt>
                <c:pt idx="119">
                  <c:v>6.8451376069225175E-2</c:v>
                </c:pt>
                <c:pt idx="120">
                  <c:v>4.1848671671398989E-2</c:v>
                </c:pt>
                <c:pt idx="121">
                  <c:v>4.1848671671398989E-2</c:v>
                </c:pt>
                <c:pt idx="122">
                  <c:v>3.2035350286254094E-2</c:v>
                </c:pt>
                <c:pt idx="123">
                  <c:v>8.9483534302470885E-2</c:v>
                </c:pt>
                <c:pt idx="124">
                  <c:v>6.4244259005224985E-2</c:v>
                </c:pt>
                <c:pt idx="125">
                  <c:v>1.6607929142557126E-2</c:v>
                </c:pt>
                <c:pt idx="126">
                  <c:v>2.3482662362922971E-2</c:v>
                </c:pt>
                <c:pt idx="127">
                  <c:v>3.2868105111508714E-2</c:v>
                </c:pt>
                <c:pt idx="128">
                  <c:v>0.17565581032679606</c:v>
                </c:pt>
                <c:pt idx="129">
                  <c:v>4.0055240234904747E-2</c:v>
                </c:pt>
                <c:pt idx="130">
                  <c:v>3.2442804566785124E-2</c:v>
                </c:pt>
                <c:pt idx="131">
                  <c:v>1.6339281836361592E-2</c:v>
                </c:pt>
                <c:pt idx="132">
                  <c:v>6.0759442294362496E-2</c:v>
                </c:pt>
                <c:pt idx="133">
                  <c:v>3.477692455153536E-2</c:v>
                </c:pt>
                <c:pt idx="134">
                  <c:v>0.12517725973230426</c:v>
                </c:pt>
                <c:pt idx="135">
                  <c:v>2.4525406151979283E-2</c:v>
                </c:pt>
                <c:pt idx="136">
                  <c:v>2.845029489743053E-2</c:v>
                </c:pt>
                <c:pt idx="137">
                  <c:v>4.0919922819869364E-2</c:v>
                </c:pt>
                <c:pt idx="138">
                  <c:v>3.778016868787578E-2</c:v>
                </c:pt>
                <c:pt idx="139">
                  <c:v>1.5232580220202796E-2</c:v>
                </c:pt>
                <c:pt idx="140">
                  <c:v>3.9247581564499062E-2</c:v>
                </c:pt>
                <c:pt idx="141">
                  <c:v>2.9904600006968558E-2</c:v>
                </c:pt>
                <c:pt idx="142">
                  <c:v>4.5110951930871938E-2</c:v>
                </c:pt>
                <c:pt idx="143">
                  <c:v>2.8722076164838194E-2</c:v>
                </c:pt>
                <c:pt idx="144">
                  <c:v>1.6936291448025033E-2</c:v>
                </c:pt>
                <c:pt idx="145">
                  <c:v>2.6138851853377495E-2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37-4B66-B994-087BE8482529}"/>
            </c:ext>
          </c:extLst>
        </c:ser>
        <c:ser>
          <c:idx val="2"/>
          <c:order val="2"/>
          <c:tx>
            <c:strRef>
              <c:f>'ADC Hatası'!$F$1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'ADC Hatası'!$A$2:$A$148</c:f>
              <c:numCache>
                <c:formatCode>m/d/yyyy</c:formatCode>
                <c:ptCount val="147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'ADC Hatası'!$F$2:$F$148</c:f>
              <c:numCache>
                <c:formatCode>General</c:formatCode>
                <c:ptCount val="14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7-4B66-B994-087BE8482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5088303"/>
        <c:axId val="368436783"/>
      </c:lineChart>
      <c:dateAx>
        <c:axId val="13250883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436783"/>
        <c:crosses val="autoZero"/>
        <c:auto val="1"/>
        <c:lblOffset val="100"/>
        <c:baseTimeUnit val="days"/>
      </c:dateAx>
      <c:valAx>
        <c:axId val="36843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250883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Kalıp Baskı Hatası P-Chart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'Kalıp Baskı'!$D$1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Baskı'!$D$2:$D$149</c:f>
              <c:numCache>
                <c:formatCode>General</c:formatCode>
                <c:ptCount val="148"/>
                <c:pt idx="0">
                  <c:v>0.01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0.01</c:v>
                </c:pt>
                <c:pt idx="4">
                  <c:v>6.0000000000000001E-3</c:v>
                </c:pt>
                <c:pt idx="5">
                  <c:v>7.4999999999999997E-3</c:v>
                </c:pt>
                <c:pt idx="6">
                  <c:v>1.507537688442211E-2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0.01</c:v>
                </c:pt>
                <c:pt idx="10">
                  <c:v>0.02</c:v>
                </c:pt>
                <c:pt idx="11">
                  <c:v>1.7543859649122806E-2</c:v>
                </c:pt>
                <c:pt idx="12">
                  <c:v>2.0050125313283207E-2</c:v>
                </c:pt>
                <c:pt idx="13">
                  <c:v>8.0160320641282558E-3</c:v>
                </c:pt>
                <c:pt idx="14">
                  <c:v>8.0160320641282558E-3</c:v>
                </c:pt>
                <c:pt idx="15">
                  <c:v>3.3333333333333333E-2</c:v>
                </c:pt>
                <c:pt idx="16">
                  <c:v>0.14285714285714285</c:v>
                </c:pt>
                <c:pt idx="17">
                  <c:v>0.08</c:v>
                </c:pt>
                <c:pt idx="18">
                  <c:v>0.25</c:v>
                </c:pt>
                <c:pt idx="19">
                  <c:v>0</c:v>
                </c:pt>
                <c:pt idx="20">
                  <c:v>4.6511627906976744E-2</c:v>
                </c:pt>
                <c:pt idx="21">
                  <c:v>0.125</c:v>
                </c:pt>
                <c:pt idx="22">
                  <c:v>0.14285714285714285</c:v>
                </c:pt>
                <c:pt idx="23">
                  <c:v>2.2497187851518559E-2</c:v>
                </c:pt>
                <c:pt idx="24">
                  <c:v>0.5</c:v>
                </c:pt>
                <c:pt idx="25">
                  <c:v>0.875</c:v>
                </c:pt>
                <c:pt idx="26">
                  <c:v>2.8880866425992781E-2</c:v>
                </c:pt>
                <c:pt idx="27">
                  <c:v>0.6</c:v>
                </c:pt>
                <c:pt idx="28">
                  <c:v>2.9542097488921712E-2</c:v>
                </c:pt>
                <c:pt idx="29">
                  <c:v>2.2872098315885298E-2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28-42D8-B74A-AC04D643BFAE}"/>
            </c:ext>
          </c:extLst>
        </c:ser>
        <c:ser>
          <c:idx val="1"/>
          <c:order val="1"/>
          <c:tx>
            <c:strRef>
              <c:f>'Kalıp Baskı'!$E$1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Baskı'!$E$2:$E$149</c:f>
              <c:numCache>
                <c:formatCode>General</c:formatCode>
                <c:ptCount val="148"/>
                <c:pt idx="0">
                  <c:v>4.292905166930485E-2</c:v>
                </c:pt>
                <c:pt idx="1">
                  <c:v>4.292905166930485E-2</c:v>
                </c:pt>
                <c:pt idx="2">
                  <c:v>4.292905166930485E-2</c:v>
                </c:pt>
                <c:pt idx="3">
                  <c:v>4.8765513753702944E-2</c:v>
                </c:pt>
                <c:pt idx="4">
                  <c:v>4.292905166930485E-2</c:v>
                </c:pt>
                <c:pt idx="5">
                  <c:v>4.5296453875779547E-2</c:v>
                </c:pt>
                <c:pt idx="6">
                  <c:v>5.4664506697551712E-2</c:v>
                </c:pt>
                <c:pt idx="7">
                  <c:v>4.8765513753702944E-2</c:v>
                </c:pt>
                <c:pt idx="8">
                  <c:v>4.8765513753702944E-2</c:v>
                </c:pt>
                <c:pt idx="9">
                  <c:v>5.4584926076164254E-2</c:v>
                </c:pt>
                <c:pt idx="10">
                  <c:v>4.8765513753702944E-2</c:v>
                </c:pt>
                <c:pt idx="11">
                  <c:v>4.5324536987046735E-2</c:v>
                </c:pt>
                <c:pt idx="12">
                  <c:v>4.5324536987046735E-2</c:v>
                </c:pt>
                <c:pt idx="13">
                  <c:v>4.2949138758318593E-2</c:v>
                </c:pt>
                <c:pt idx="14">
                  <c:v>4.2949138758318593E-2</c:v>
                </c:pt>
                <c:pt idx="15">
                  <c:v>3.782166868914813E-2</c:v>
                </c:pt>
                <c:pt idx="16">
                  <c:v>0.19238429295122456</c:v>
                </c:pt>
                <c:pt idx="17">
                  <c:v>0.11256952055546228</c:v>
                </c:pt>
                <c:pt idx="18">
                  <c:v>0.24711565391482773</c:v>
                </c:pt>
                <c:pt idx="19">
                  <c:v>0.34000037591867494</c:v>
                </c:pt>
                <c:pt idx="20">
                  <c:v>7.1233707262352078E-2</c:v>
                </c:pt>
                <c:pt idx="21">
                  <c:v>0.13499387611535651</c:v>
                </c:pt>
                <c:pt idx="22">
                  <c:v>0.19238429295122456</c:v>
                </c:pt>
                <c:pt idx="23">
                  <c:v>3.791387324939325E-2</c:v>
                </c:pt>
                <c:pt idx="24">
                  <c:v>7.014679073636941E-2</c:v>
                </c:pt>
                <c:pt idx="25">
                  <c:v>0.1814362371172801</c:v>
                </c:pt>
                <c:pt idx="26">
                  <c:v>4.9819077203276135E-2</c:v>
                </c:pt>
                <c:pt idx="27">
                  <c:v>0.22344163185008084</c:v>
                </c:pt>
                <c:pt idx="28">
                  <c:v>4.0108858221370045E-2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28-42D8-B74A-AC04D643BFAE}"/>
            </c:ext>
          </c:extLst>
        </c:ser>
        <c:ser>
          <c:idx val="2"/>
          <c:order val="2"/>
          <c:tx>
            <c:strRef>
              <c:f>'Kalıp Baskı'!$F$1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Baskı'!$F$2:$F$149</c:f>
              <c:numCache>
                <c:formatCode>General</c:formatCode>
                <c:ptCount val="148"/>
                <c:pt idx="0">
                  <c:v>2.8151449624657446E-3</c:v>
                </c:pt>
                <c:pt idx="1">
                  <c:v>2.8151449624657446E-3</c:v>
                </c:pt>
                <c:pt idx="2">
                  <c:v>2.8151449624657446E-3</c:v>
                </c:pt>
                <c:pt idx="3">
                  <c:v>0</c:v>
                </c:pt>
                <c:pt idx="4">
                  <c:v>2.8151449624657446E-3</c:v>
                </c:pt>
                <c:pt idx="5">
                  <c:v>4.4774275599105198E-4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4.1965964472386041E-4</c:v>
                </c:pt>
                <c:pt idx="12">
                  <c:v>4.1965964472386041E-4</c:v>
                </c:pt>
                <c:pt idx="13">
                  <c:v>2.7950578734520018E-3</c:v>
                </c:pt>
                <c:pt idx="14">
                  <c:v>2.7950578734520018E-3</c:v>
                </c:pt>
                <c:pt idx="15">
                  <c:v>7.9225279426224683E-3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7.8303233823773452E-3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5.635338410400554E-3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28-42D8-B74A-AC04D643B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60496"/>
        <c:axId val="368574543"/>
      </c:lineChart>
      <c:dateAx>
        <c:axId val="17986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574543"/>
        <c:crosses val="autoZero"/>
        <c:auto val="1"/>
        <c:lblOffset val="100"/>
        <c:baseTimeUnit val="days"/>
      </c:dateAx>
      <c:valAx>
        <c:axId val="3685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98604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Kalıp Baskı Hatası P-Chart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'Kalıp Baskı'!$D$1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Baskı'!$D$2:$D$149</c:f>
              <c:numCache>
                <c:formatCode>General</c:formatCode>
                <c:ptCount val="148"/>
                <c:pt idx="0">
                  <c:v>0.01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0.01</c:v>
                </c:pt>
                <c:pt idx="4">
                  <c:v>6.0000000000000001E-3</c:v>
                </c:pt>
                <c:pt idx="5">
                  <c:v>7.4999999999999997E-3</c:v>
                </c:pt>
                <c:pt idx="6">
                  <c:v>1.507537688442211E-2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0.01</c:v>
                </c:pt>
                <c:pt idx="10">
                  <c:v>0.02</c:v>
                </c:pt>
                <c:pt idx="11">
                  <c:v>1.7543859649122806E-2</c:v>
                </c:pt>
                <c:pt idx="12">
                  <c:v>2.0050125313283207E-2</c:v>
                </c:pt>
                <c:pt idx="13">
                  <c:v>8.0160320641282558E-3</c:v>
                </c:pt>
                <c:pt idx="14">
                  <c:v>8.0160320641282558E-3</c:v>
                </c:pt>
                <c:pt idx="15">
                  <c:v>3.3333333333333333E-2</c:v>
                </c:pt>
                <c:pt idx="16">
                  <c:v>0.14285714285714285</c:v>
                </c:pt>
                <c:pt idx="17">
                  <c:v>0.08</c:v>
                </c:pt>
                <c:pt idx="18">
                  <c:v>0.25</c:v>
                </c:pt>
                <c:pt idx="19">
                  <c:v>0</c:v>
                </c:pt>
                <c:pt idx="20">
                  <c:v>4.6511627906976744E-2</c:v>
                </c:pt>
                <c:pt idx="21">
                  <c:v>0.125</c:v>
                </c:pt>
                <c:pt idx="22">
                  <c:v>0.14285714285714285</c:v>
                </c:pt>
                <c:pt idx="23">
                  <c:v>2.2497187851518559E-2</c:v>
                </c:pt>
                <c:pt idx="24">
                  <c:v>0.5</c:v>
                </c:pt>
                <c:pt idx="25">
                  <c:v>0.875</c:v>
                </c:pt>
                <c:pt idx="26">
                  <c:v>2.8880866425992781E-2</c:v>
                </c:pt>
                <c:pt idx="27">
                  <c:v>0.6</c:v>
                </c:pt>
                <c:pt idx="28">
                  <c:v>2.9542097488921712E-2</c:v>
                </c:pt>
                <c:pt idx="29">
                  <c:v>2.2872098315885298E-2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69-426D-9258-BD357B090F09}"/>
            </c:ext>
          </c:extLst>
        </c:ser>
        <c:ser>
          <c:idx val="1"/>
          <c:order val="1"/>
          <c:tx>
            <c:strRef>
              <c:f>'Kalıp Baskı'!$E$1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Baskı'!$E$2:$E$149</c:f>
              <c:numCache>
                <c:formatCode>General</c:formatCode>
                <c:ptCount val="148"/>
                <c:pt idx="0">
                  <c:v>4.292905166930485E-2</c:v>
                </c:pt>
                <c:pt idx="1">
                  <c:v>4.292905166930485E-2</c:v>
                </c:pt>
                <c:pt idx="2">
                  <c:v>4.292905166930485E-2</c:v>
                </c:pt>
                <c:pt idx="3">
                  <c:v>4.8765513753702944E-2</c:v>
                </c:pt>
                <c:pt idx="4">
                  <c:v>4.292905166930485E-2</c:v>
                </c:pt>
                <c:pt idx="5">
                  <c:v>4.5296453875779547E-2</c:v>
                </c:pt>
                <c:pt idx="6">
                  <c:v>5.4664506697551712E-2</c:v>
                </c:pt>
                <c:pt idx="7">
                  <c:v>4.8765513753702944E-2</c:v>
                </c:pt>
                <c:pt idx="8">
                  <c:v>4.8765513753702944E-2</c:v>
                </c:pt>
                <c:pt idx="9">
                  <c:v>5.4584926076164254E-2</c:v>
                </c:pt>
                <c:pt idx="10">
                  <c:v>4.8765513753702944E-2</c:v>
                </c:pt>
                <c:pt idx="11">
                  <c:v>4.5324536987046735E-2</c:v>
                </c:pt>
                <c:pt idx="12">
                  <c:v>4.5324536987046735E-2</c:v>
                </c:pt>
                <c:pt idx="13">
                  <c:v>4.2949138758318593E-2</c:v>
                </c:pt>
                <c:pt idx="14">
                  <c:v>4.2949138758318593E-2</c:v>
                </c:pt>
                <c:pt idx="15">
                  <c:v>3.782166868914813E-2</c:v>
                </c:pt>
                <c:pt idx="16">
                  <c:v>0.19238429295122456</c:v>
                </c:pt>
                <c:pt idx="17">
                  <c:v>0.11256952055546228</c:v>
                </c:pt>
                <c:pt idx="18">
                  <c:v>0.24711565391482773</c:v>
                </c:pt>
                <c:pt idx="19">
                  <c:v>0.34000037591867494</c:v>
                </c:pt>
                <c:pt idx="20">
                  <c:v>7.1233707262352078E-2</c:v>
                </c:pt>
                <c:pt idx="21">
                  <c:v>0.13499387611535651</c:v>
                </c:pt>
                <c:pt idx="22">
                  <c:v>0.19238429295122456</c:v>
                </c:pt>
                <c:pt idx="23">
                  <c:v>3.791387324939325E-2</c:v>
                </c:pt>
                <c:pt idx="24">
                  <c:v>7.014679073636941E-2</c:v>
                </c:pt>
                <c:pt idx="25">
                  <c:v>0.1814362371172801</c:v>
                </c:pt>
                <c:pt idx="26">
                  <c:v>4.9819077203276135E-2</c:v>
                </c:pt>
                <c:pt idx="27">
                  <c:v>0.22344163185008084</c:v>
                </c:pt>
                <c:pt idx="28">
                  <c:v>4.0108858221370045E-2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69-426D-9258-BD357B090F09}"/>
            </c:ext>
          </c:extLst>
        </c:ser>
        <c:ser>
          <c:idx val="2"/>
          <c:order val="2"/>
          <c:tx>
            <c:strRef>
              <c:f>'Kalıp Baskı'!$F$1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Baskı'!$F$2:$F$149</c:f>
              <c:numCache>
                <c:formatCode>General</c:formatCode>
                <c:ptCount val="148"/>
                <c:pt idx="0">
                  <c:v>2.8151449624657446E-3</c:v>
                </c:pt>
                <c:pt idx="1">
                  <c:v>2.8151449624657446E-3</c:v>
                </c:pt>
                <c:pt idx="2">
                  <c:v>2.8151449624657446E-3</c:v>
                </c:pt>
                <c:pt idx="3">
                  <c:v>0</c:v>
                </c:pt>
                <c:pt idx="4">
                  <c:v>2.8151449624657446E-3</c:v>
                </c:pt>
                <c:pt idx="5">
                  <c:v>4.4774275599105198E-4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4.1965964472386041E-4</c:v>
                </c:pt>
                <c:pt idx="12">
                  <c:v>4.1965964472386041E-4</c:v>
                </c:pt>
                <c:pt idx="13">
                  <c:v>2.7950578734520018E-3</c:v>
                </c:pt>
                <c:pt idx="14">
                  <c:v>2.7950578734520018E-3</c:v>
                </c:pt>
                <c:pt idx="15">
                  <c:v>7.9225279426224683E-3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7.8303233823773452E-3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5.635338410400554E-3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69-426D-9258-BD357B090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60496"/>
        <c:axId val="368574543"/>
      </c:lineChart>
      <c:dateAx>
        <c:axId val="17986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574543"/>
        <c:crosses val="autoZero"/>
        <c:auto val="1"/>
        <c:lblOffset val="100"/>
        <c:baseTimeUnit val="days"/>
      </c:dateAx>
      <c:valAx>
        <c:axId val="3685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98604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Kalıp Baskı Hatası P-Chart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'Kalıp Baskı'!$D$1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Baskı'!$D$2:$D$149</c:f>
              <c:numCache>
                <c:formatCode>General</c:formatCode>
                <c:ptCount val="148"/>
                <c:pt idx="0">
                  <c:v>0.01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0.01</c:v>
                </c:pt>
                <c:pt idx="4">
                  <c:v>6.0000000000000001E-3</c:v>
                </c:pt>
                <c:pt idx="5">
                  <c:v>7.4999999999999997E-3</c:v>
                </c:pt>
                <c:pt idx="6">
                  <c:v>1.507537688442211E-2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0.01</c:v>
                </c:pt>
                <c:pt idx="10">
                  <c:v>0.02</c:v>
                </c:pt>
                <c:pt idx="11">
                  <c:v>1.7543859649122806E-2</c:v>
                </c:pt>
                <c:pt idx="12">
                  <c:v>2.0050125313283207E-2</c:v>
                </c:pt>
                <c:pt idx="13">
                  <c:v>8.0160320641282558E-3</c:v>
                </c:pt>
                <c:pt idx="14">
                  <c:v>8.0160320641282558E-3</c:v>
                </c:pt>
                <c:pt idx="15">
                  <c:v>3.3333333333333333E-2</c:v>
                </c:pt>
                <c:pt idx="16">
                  <c:v>0.14285714285714285</c:v>
                </c:pt>
                <c:pt idx="17">
                  <c:v>0.08</c:v>
                </c:pt>
                <c:pt idx="18">
                  <c:v>0.25</c:v>
                </c:pt>
                <c:pt idx="19">
                  <c:v>0</c:v>
                </c:pt>
                <c:pt idx="20">
                  <c:v>4.6511627906976744E-2</c:v>
                </c:pt>
                <c:pt idx="21">
                  <c:v>0.125</c:v>
                </c:pt>
                <c:pt idx="22">
                  <c:v>0.14285714285714285</c:v>
                </c:pt>
                <c:pt idx="23">
                  <c:v>2.2497187851518559E-2</c:v>
                </c:pt>
                <c:pt idx="24">
                  <c:v>0.5</c:v>
                </c:pt>
                <c:pt idx="25">
                  <c:v>0.875</c:v>
                </c:pt>
                <c:pt idx="26">
                  <c:v>2.8880866425992781E-2</c:v>
                </c:pt>
                <c:pt idx="27">
                  <c:v>0.6</c:v>
                </c:pt>
                <c:pt idx="28">
                  <c:v>2.9542097488921712E-2</c:v>
                </c:pt>
                <c:pt idx="29">
                  <c:v>2.2872098315885298E-2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74-4664-B689-D98603474119}"/>
            </c:ext>
          </c:extLst>
        </c:ser>
        <c:ser>
          <c:idx val="1"/>
          <c:order val="1"/>
          <c:tx>
            <c:strRef>
              <c:f>'Kalıp Baskı'!$E$1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Baskı'!$E$2:$E$149</c:f>
              <c:numCache>
                <c:formatCode>General</c:formatCode>
                <c:ptCount val="148"/>
                <c:pt idx="0">
                  <c:v>4.292905166930485E-2</c:v>
                </c:pt>
                <c:pt idx="1">
                  <c:v>4.292905166930485E-2</c:v>
                </c:pt>
                <c:pt idx="2">
                  <c:v>4.292905166930485E-2</c:v>
                </c:pt>
                <c:pt idx="3">
                  <c:v>4.8765513753702944E-2</c:v>
                </c:pt>
                <c:pt idx="4">
                  <c:v>4.292905166930485E-2</c:v>
                </c:pt>
                <c:pt idx="5">
                  <c:v>4.5296453875779547E-2</c:v>
                </c:pt>
                <c:pt idx="6">
                  <c:v>5.4664506697551712E-2</c:v>
                </c:pt>
                <c:pt idx="7">
                  <c:v>4.8765513753702944E-2</c:v>
                </c:pt>
                <c:pt idx="8">
                  <c:v>4.8765513753702944E-2</c:v>
                </c:pt>
                <c:pt idx="9">
                  <c:v>5.4584926076164254E-2</c:v>
                </c:pt>
                <c:pt idx="10">
                  <c:v>4.8765513753702944E-2</c:v>
                </c:pt>
                <c:pt idx="11">
                  <c:v>4.5324536987046735E-2</c:v>
                </c:pt>
                <c:pt idx="12">
                  <c:v>4.5324536987046735E-2</c:v>
                </c:pt>
                <c:pt idx="13">
                  <c:v>4.2949138758318593E-2</c:v>
                </c:pt>
                <c:pt idx="14">
                  <c:v>4.2949138758318593E-2</c:v>
                </c:pt>
                <c:pt idx="15">
                  <c:v>3.782166868914813E-2</c:v>
                </c:pt>
                <c:pt idx="16">
                  <c:v>0.19238429295122456</c:v>
                </c:pt>
                <c:pt idx="17">
                  <c:v>0.11256952055546228</c:v>
                </c:pt>
                <c:pt idx="18">
                  <c:v>0.24711565391482773</c:v>
                </c:pt>
                <c:pt idx="19">
                  <c:v>0.34000037591867494</c:v>
                </c:pt>
                <c:pt idx="20">
                  <c:v>7.1233707262352078E-2</c:v>
                </c:pt>
                <c:pt idx="21">
                  <c:v>0.13499387611535651</c:v>
                </c:pt>
                <c:pt idx="22">
                  <c:v>0.19238429295122456</c:v>
                </c:pt>
                <c:pt idx="23">
                  <c:v>3.791387324939325E-2</c:v>
                </c:pt>
                <c:pt idx="24">
                  <c:v>7.014679073636941E-2</c:v>
                </c:pt>
                <c:pt idx="25">
                  <c:v>0.1814362371172801</c:v>
                </c:pt>
                <c:pt idx="26">
                  <c:v>4.9819077203276135E-2</c:v>
                </c:pt>
                <c:pt idx="27">
                  <c:v>0.22344163185008084</c:v>
                </c:pt>
                <c:pt idx="28">
                  <c:v>4.0108858221370045E-2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74-4664-B689-D98603474119}"/>
            </c:ext>
          </c:extLst>
        </c:ser>
        <c:ser>
          <c:idx val="2"/>
          <c:order val="2"/>
          <c:tx>
            <c:strRef>
              <c:f>'Kalıp Baskı'!$F$1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Baskı'!$F$2:$F$149</c:f>
              <c:numCache>
                <c:formatCode>General</c:formatCode>
                <c:ptCount val="148"/>
                <c:pt idx="0">
                  <c:v>2.8151449624657446E-3</c:v>
                </c:pt>
                <c:pt idx="1">
                  <c:v>2.8151449624657446E-3</c:v>
                </c:pt>
                <c:pt idx="2">
                  <c:v>2.8151449624657446E-3</c:v>
                </c:pt>
                <c:pt idx="3">
                  <c:v>0</c:v>
                </c:pt>
                <c:pt idx="4">
                  <c:v>2.8151449624657446E-3</c:v>
                </c:pt>
                <c:pt idx="5">
                  <c:v>4.4774275599105198E-4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4.1965964472386041E-4</c:v>
                </c:pt>
                <c:pt idx="12">
                  <c:v>4.1965964472386041E-4</c:v>
                </c:pt>
                <c:pt idx="13">
                  <c:v>2.7950578734520018E-3</c:v>
                </c:pt>
                <c:pt idx="14">
                  <c:v>2.7950578734520018E-3</c:v>
                </c:pt>
                <c:pt idx="15">
                  <c:v>7.9225279426224683E-3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7.8303233823773452E-3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5.635338410400554E-3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074-4664-B689-D98603474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60496"/>
        <c:axId val="368574543"/>
      </c:lineChart>
      <c:dateAx>
        <c:axId val="17986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574543"/>
        <c:crosses val="autoZero"/>
        <c:auto val="1"/>
        <c:lblOffset val="100"/>
        <c:baseTimeUnit val="days"/>
      </c:dateAx>
      <c:valAx>
        <c:axId val="3685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98604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Kalıp Baskı Hatası P-Chart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'Kalıp Baskı'!$D$1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Baskı'!$D$2:$D$149</c:f>
              <c:numCache>
                <c:formatCode>General</c:formatCode>
                <c:ptCount val="148"/>
                <c:pt idx="0">
                  <c:v>0.01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0.01</c:v>
                </c:pt>
                <c:pt idx="4">
                  <c:v>6.0000000000000001E-3</c:v>
                </c:pt>
                <c:pt idx="5">
                  <c:v>7.4999999999999997E-3</c:v>
                </c:pt>
                <c:pt idx="6">
                  <c:v>1.507537688442211E-2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0.01</c:v>
                </c:pt>
                <c:pt idx="10">
                  <c:v>0.02</c:v>
                </c:pt>
                <c:pt idx="11">
                  <c:v>1.7543859649122806E-2</c:v>
                </c:pt>
                <c:pt idx="12">
                  <c:v>2.0050125313283207E-2</c:v>
                </c:pt>
                <c:pt idx="13">
                  <c:v>8.0160320641282558E-3</c:v>
                </c:pt>
                <c:pt idx="14">
                  <c:v>8.0160320641282558E-3</c:v>
                </c:pt>
                <c:pt idx="15">
                  <c:v>3.3333333333333333E-2</c:v>
                </c:pt>
                <c:pt idx="16">
                  <c:v>0.14285714285714285</c:v>
                </c:pt>
                <c:pt idx="17">
                  <c:v>0.08</c:v>
                </c:pt>
                <c:pt idx="18">
                  <c:v>0.25</c:v>
                </c:pt>
                <c:pt idx="19">
                  <c:v>0</c:v>
                </c:pt>
                <c:pt idx="20">
                  <c:v>4.6511627906976744E-2</c:v>
                </c:pt>
                <c:pt idx="21">
                  <c:v>0.125</c:v>
                </c:pt>
                <c:pt idx="22">
                  <c:v>0.14285714285714285</c:v>
                </c:pt>
                <c:pt idx="23">
                  <c:v>2.2497187851518559E-2</c:v>
                </c:pt>
                <c:pt idx="24">
                  <c:v>0.5</c:v>
                </c:pt>
                <c:pt idx="25">
                  <c:v>0.875</c:v>
                </c:pt>
                <c:pt idx="26">
                  <c:v>2.8880866425992781E-2</c:v>
                </c:pt>
                <c:pt idx="27">
                  <c:v>0.6</c:v>
                </c:pt>
                <c:pt idx="28">
                  <c:v>2.9542097488921712E-2</c:v>
                </c:pt>
                <c:pt idx="29">
                  <c:v>2.2872098315885298E-2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80-4754-9419-A938D9BDF30F}"/>
            </c:ext>
          </c:extLst>
        </c:ser>
        <c:ser>
          <c:idx val="1"/>
          <c:order val="1"/>
          <c:tx>
            <c:strRef>
              <c:f>'Kalıp Baskı'!$E$1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Baskı'!$E$2:$E$149</c:f>
              <c:numCache>
                <c:formatCode>General</c:formatCode>
                <c:ptCount val="148"/>
                <c:pt idx="0">
                  <c:v>4.292905166930485E-2</c:v>
                </c:pt>
                <c:pt idx="1">
                  <c:v>4.292905166930485E-2</c:v>
                </c:pt>
                <c:pt idx="2">
                  <c:v>4.292905166930485E-2</c:v>
                </c:pt>
                <c:pt idx="3">
                  <c:v>4.8765513753702944E-2</c:v>
                </c:pt>
                <c:pt idx="4">
                  <c:v>4.292905166930485E-2</c:v>
                </c:pt>
                <c:pt idx="5">
                  <c:v>4.5296453875779547E-2</c:v>
                </c:pt>
                <c:pt idx="6">
                  <c:v>5.4664506697551712E-2</c:v>
                </c:pt>
                <c:pt idx="7">
                  <c:v>4.8765513753702944E-2</c:v>
                </c:pt>
                <c:pt idx="8">
                  <c:v>4.8765513753702944E-2</c:v>
                </c:pt>
                <c:pt idx="9">
                  <c:v>5.4584926076164254E-2</c:v>
                </c:pt>
                <c:pt idx="10">
                  <c:v>4.8765513753702944E-2</c:v>
                </c:pt>
                <c:pt idx="11">
                  <c:v>4.5324536987046735E-2</c:v>
                </c:pt>
                <c:pt idx="12">
                  <c:v>4.5324536987046735E-2</c:v>
                </c:pt>
                <c:pt idx="13">
                  <c:v>4.2949138758318593E-2</c:v>
                </c:pt>
                <c:pt idx="14">
                  <c:v>4.2949138758318593E-2</c:v>
                </c:pt>
                <c:pt idx="15">
                  <c:v>3.782166868914813E-2</c:v>
                </c:pt>
                <c:pt idx="16">
                  <c:v>0.19238429295122456</c:v>
                </c:pt>
                <c:pt idx="17">
                  <c:v>0.11256952055546228</c:v>
                </c:pt>
                <c:pt idx="18">
                  <c:v>0.24711565391482773</c:v>
                </c:pt>
                <c:pt idx="19">
                  <c:v>0.34000037591867494</c:v>
                </c:pt>
                <c:pt idx="20">
                  <c:v>7.1233707262352078E-2</c:v>
                </c:pt>
                <c:pt idx="21">
                  <c:v>0.13499387611535651</c:v>
                </c:pt>
                <c:pt idx="22">
                  <c:v>0.19238429295122456</c:v>
                </c:pt>
                <c:pt idx="23">
                  <c:v>3.791387324939325E-2</c:v>
                </c:pt>
                <c:pt idx="24">
                  <c:v>7.014679073636941E-2</c:v>
                </c:pt>
                <c:pt idx="25">
                  <c:v>0.1814362371172801</c:v>
                </c:pt>
                <c:pt idx="26">
                  <c:v>4.9819077203276135E-2</c:v>
                </c:pt>
                <c:pt idx="27">
                  <c:v>0.22344163185008084</c:v>
                </c:pt>
                <c:pt idx="28">
                  <c:v>4.0108858221370045E-2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80-4754-9419-A938D9BDF30F}"/>
            </c:ext>
          </c:extLst>
        </c:ser>
        <c:ser>
          <c:idx val="2"/>
          <c:order val="2"/>
          <c:tx>
            <c:strRef>
              <c:f>'Kalıp Baskı'!$F$1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cat>
            <c:numRef>
              <c:f>'Kalıp Baskı'!$A$2:$A$149</c:f>
              <c:numCache>
                <c:formatCode>m/d/yyyy</c:formatCode>
                <c:ptCount val="148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</c:numCache>
            </c:numRef>
          </c:cat>
          <c:val>
            <c:numRef>
              <c:f>'Kalıp Baskı'!$F$2:$F$149</c:f>
              <c:numCache>
                <c:formatCode>General</c:formatCode>
                <c:ptCount val="148"/>
                <c:pt idx="0">
                  <c:v>2.8151449624657446E-3</c:v>
                </c:pt>
                <c:pt idx="1">
                  <c:v>2.8151449624657446E-3</c:v>
                </c:pt>
                <c:pt idx="2">
                  <c:v>2.8151449624657446E-3</c:v>
                </c:pt>
                <c:pt idx="3">
                  <c:v>0</c:v>
                </c:pt>
                <c:pt idx="4">
                  <c:v>2.8151449624657446E-3</c:v>
                </c:pt>
                <c:pt idx="5">
                  <c:v>4.4774275599105198E-4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4.1965964472386041E-4</c:v>
                </c:pt>
                <c:pt idx="12">
                  <c:v>4.1965964472386041E-4</c:v>
                </c:pt>
                <c:pt idx="13">
                  <c:v>2.7950578734520018E-3</c:v>
                </c:pt>
                <c:pt idx="14">
                  <c:v>2.7950578734520018E-3</c:v>
                </c:pt>
                <c:pt idx="15">
                  <c:v>7.9225279426224683E-3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7.8303233823773452E-3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5.635338410400554E-3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80-4754-9419-A938D9BDF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860496"/>
        <c:axId val="368574543"/>
      </c:lineChart>
      <c:dateAx>
        <c:axId val="17986049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68574543"/>
        <c:crosses val="autoZero"/>
        <c:auto val="1"/>
        <c:lblOffset val="100"/>
        <c:baseTimeUnit val="days"/>
      </c:dateAx>
      <c:valAx>
        <c:axId val="36857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986049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Kalıp Baskı Revize P-Chart (Tüm Noktalar Kontrol İçinde)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Sayfa1!$D$37</c:f>
              <c:strCache>
                <c:ptCount val="1"/>
                <c:pt idx="0">
                  <c:v>p</c:v>
                </c:pt>
              </c:strCache>
            </c:strRef>
          </c:tx>
          <c:spPr>
            <a:ln w="20000">
              <a:solidFill>
                <a:srgbClr val="2E75B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2E75B6"/>
              </a:solidFill>
              <a:ln>
                <a:solidFill>
                  <a:srgbClr val="2E75B6"/>
                </a:solidFill>
                <a:prstDash val="solid"/>
              </a:ln>
            </c:spPr>
          </c:marker>
          <c:cat>
            <c:numRef>
              <c:f>Sayfa1!$A$38:$A$57</c:f>
              <c:numCache>
                <c:formatCode>m/d/yyyy</c:formatCode>
                <c:ptCount val="2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46062</c:v>
                </c:pt>
                <c:pt idx="16">
                  <c:v>46064</c:v>
                </c:pt>
                <c:pt idx="17">
                  <c:v>46065</c:v>
                </c:pt>
                <c:pt idx="18">
                  <c:v>46070</c:v>
                </c:pt>
                <c:pt idx="19">
                  <c:v>46076</c:v>
                </c:pt>
              </c:numCache>
            </c:numRef>
          </c:cat>
          <c:val>
            <c:numRef>
              <c:f>Sayfa1!$D$38:$D$57</c:f>
              <c:numCache>
                <c:formatCode>General</c:formatCode>
                <c:ptCount val="20"/>
                <c:pt idx="0">
                  <c:v>0.01</c:v>
                </c:pt>
                <c:pt idx="1">
                  <c:v>4.0000000000000001E-3</c:v>
                </c:pt>
                <c:pt idx="2">
                  <c:v>6.0000000000000001E-3</c:v>
                </c:pt>
                <c:pt idx="3">
                  <c:v>0.01</c:v>
                </c:pt>
                <c:pt idx="4">
                  <c:v>6.0000000000000001E-3</c:v>
                </c:pt>
                <c:pt idx="5">
                  <c:v>7.4999999999999997E-3</c:v>
                </c:pt>
                <c:pt idx="6">
                  <c:v>1.507537688442211E-2</c:v>
                </c:pt>
                <c:pt idx="7">
                  <c:v>6.6666666666666671E-3</c:v>
                </c:pt>
                <c:pt idx="8">
                  <c:v>6.6666666666666671E-3</c:v>
                </c:pt>
                <c:pt idx="9">
                  <c:v>0.01</c:v>
                </c:pt>
                <c:pt idx="10">
                  <c:v>0.02</c:v>
                </c:pt>
                <c:pt idx="11">
                  <c:v>1.7543859649122806E-2</c:v>
                </c:pt>
                <c:pt idx="12">
                  <c:v>2.0050125313283207E-2</c:v>
                </c:pt>
                <c:pt idx="13">
                  <c:v>8.0160320641282558E-3</c:v>
                </c:pt>
                <c:pt idx="14">
                  <c:v>8.0160320641282558E-3</c:v>
                </c:pt>
                <c:pt idx="15">
                  <c:v>0.08</c:v>
                </c:pt>
                <c:pt idx="16">
                  <c:v>0</c:v>
                </c:pt>
                <c:pt idx="17">
                  <c:v>4.6511627906976744E-2</c:v>
                </c:pt>
                <c:pt idx="18">
                  <c:v>2.2497187851518559E-2</c:v>
                </c:pt>
                <c:pt idx="19">
                  <c:v>2.8880866425992781E-2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B-4C2E-B6FB-0EDF83E1D112}"/>
            </c:ext>
          </c:extLst>
        </c:ser>
        <c:ser>
          <c:idx val="1"/>
          <c:order val="1"/>
          <c:tx>
            <c:strRef>
              <c:f>Sayfa1!$E$37</c:f>
              <c:strCache>
                <c:ptCount val="1"/>
                <c:pt idx="0">
                  <c:v>UCL</c:v>
                </c:pt>
              </c:strCache>
            </c:strRef>
          </c:tx>
          <c:spPr>
            <a:ln w="20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Sayfa1!$A$38:$A$57</c:f>
              <c:numCache>
                <c:formatCode>m/d/yyyy</c:formatCode>
                <c:ptCount val="2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46062</c:v>
                </c:pt>
                <c:pt idx="16">
                  <c:v>46064</c:v>
                </c:pt>
                <c:pt idx="17">
                  <c:v>46065</c:v>
                </c:pt>
                <c:pt idx="18">
                  <c:v>46070</c:v>
                </c:pt>
                <c:pt idx="19">
                  <c:v>46076</c:v>
                </c:pt>
              </c:numCache>
            </c:numRef>
          </c:cat>
          <c:val>
            <c:numRef>
              <c:f>Sayfa1!$E$38:$E$57</c:f>
              <c:numCache>
                <c:formatCode>General</c:formatCode>
                <c:ptCount val="20"/>
                <c:pt idx="0">
                  <c:v>2.7982655604763547E-2</c:v>
                </c:pt>
                <c:pt idx="1">
                  <c:v>2.7982655604763547E-2</c:v>
                </c:pt>
                <c:pt idx="2">
                  <c:v>2.7982655604763547E-2</c:v>
                </c:pt>
                <c:pt idx="3">
                  <c:v>3.2382097825408823E-2</c:v>
                </c:pt>
                <c:pt idx="4">
                  <c:v>2.7982655604763547E-2</c:v>
                </c:pt>
                <c:pt idx="5">
                  <c:v>2.9767169762450845E-2</c:v>
                </c:pt>
                <c:pt idx="6">
                  <c:v>3.682867491974684E-2</c:v>
                </c:pt>
                <c:pt idx="7">
                  <c:v>3.2382097825408823E-2</c:v>
                </c:pt>
                <c:pt idx="8">
                  <c:v>3.2382097825408823E-2</c:v>
                </c:pt>
                <c:pt idx="9">
                  <c:v>3.6768688177673578E-2</c:v>
                </c:pt>
                <c:pt idx="10">
                  <c:v>3.2382097825408823E-2</c:v>
                </c:pt>
                <c:pt idx="11">
                  <c:v>2.9788338412843736E-2</c:v>
                </c:pt>
                <c:pt idx="12">
                  <c:v>2.9788338412843736E-2</c:v>
                </c:pt>
                <c:pt idx="13">
                  <c:v>2.799779696715381E-2</c:v>
                </c:pt>
                <c:pt idx="14">
                  <c:v>2.799779696715381E-2</c:v>
                </c:pt>
                <c:pt idx="15">
                  <c:v>8.047665190815792E-2</c:v>
                </c:pt>
                <c:pt idx="16">
                  <c:v>0.25191080035179936</c:v>
                </c:pt>
                <c:pt idx="17">
                  <c:v>4.931830296376076E-2</c:v>
                </c:pt>
                <c:pt idx="18">
                  <c:v>2.4202285345251505E-2</c:v>
                </c:pt>
                <c:pt idx="19">
                  <c:v>3.317625898933918E-2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B-4C2E-B6FB-0EDF83E1D112}"/>
            </c:ext>
          </c:extLst>
        </c:ser>
        <c:ser>
          <c:idx val="2"/>
          <c:order val="2"/>
          <c:tx>
            <c:strRef>
              <c:f>Sayfa1!$F$37</c:f>
              <c:strCache>
                <c:ptCount val="1"/>
                <c:pt idx="0">
                  <c:v>MERKEZ (p̄)</c:v>
                </c:pt>
              </c:strCache>
            </c:strRef>
          </c:tx>
          <c:spPr>
            <a:ln w="20000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numRef>
              <c:f>Sayfa1!$A$38:$A$57</c:f>
              <c:numCache>
                <c:formatCode>m/d/yyyy</c:formatCode>
                <c:ptCount val="2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46062</c:v>
                </c:pt>
                <c:pt idx="16">
                  <c:v>46064</c:v>
                </c:pt>
                <c:pt idx="17">
                  <c:v>46065</c:v>
                </c:pt>
                <c:pt idx="18">
                  <c:v>46070</c:v>
                </c:pt>
                <c:pt idx="19">
                  <c:v>46076</c:v>
                </c:pt>
              </c:numCache>
            </c:numRef>
          </c:cat>
          <c:val>
            <c:numRef>
              <c:f>Sayfa1!$F$38:$F$57</c:f>
              <c:numCache>
                <c:formatCode>General</c:formatCode>
                <c:ptCount val="20"/>
                <c:pt idx="0">
                  <c:v>1.2864009047215155E-2</c:v>
                </c:pt>
                <c:pt idx="1">
                  <c:v>1.2864009047215155E-2</c:v>
                </c:pt>
                <c:pt idx="2">
                  <c:v>1.2864009047215155E-2</c:v>
                </c:pt>
                <c:pt idx="3">
                  <c:v>1.2864009047215155E-2</c:v>
                </c:pt>
                <c:pt idx="4">
                  <c:v>1.2864009047215155E-2</c:v>
                </c:pt>
                <c:pt idx="5">
                  <c:v>1.2864009047215155E-2</c:v>
                </c:pt>
                <c:pt idx="6">
                  <c:v>1.2864009047215155E-2</c:v>
                </c:pt>
                <c:pt idx="7">
                  <c:v>1.2864009047215155E-2</c:v>
                </c:pt>
                <c:pt idx="8">
                  <c:v>1.2864009047215155E-2</c:v>
                </c:pt>
                <c:pt idx="9">
                  <c:v>1.2864009047215155E-2</c:v>
                </c:pt>
                <c:pt idx="10">
                  <c:v>1.2864009047215155E-2</c:v>
                </c:pt>
                <c:pt idx="11">
                  <c:v>1.2864009047215155E-2</c:v>
                </c:pt>
                <c:pt idx="12">
                  <c:v>1.2864009047215155E-2</c:v>
                </c:pt>
                <c:pt idx="13">
                  <c:v>1.2864009047215155E-2</c:v>
                </c:pt>
                <c:pt idx="14">
                  <c:v>1.2864009047215155E-2</c:v>
                </c:pt>
                <c:pt idx="15">
                  <c:v>1.2864009047215155E-2</c:v>
                </c:pt>
                <c:pt idx="16">
                  <c:v>1.2864009047215155E-2</c:v>
                </c:pt>
                <c:pt idx="17">
                  <c:v>1.2864009047215155E-2</c:v>
                </c:pt>
                <c:pt idx="18">
                  <c:v>1.2864009047215155E-2</c:v>
                </c:pt>
                <c:pt idx="19">
                  <c:v>1.2864009047215155E-2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CB-4C2E-B6FB-0EDF83E1D112}"/>
            </c:ext>
          </c:extLst>
        </c:ser>
        <c:ser>
          <c:idx val="3"/>
          <c:order val="3"/>
          <c:tx>
            <c:strRef>
              <c:f>Sayfa1!$G$37</c:f>
              <c:strCache>
                <c:ptCount val="1"/>
                <c:pt idx="0">
                  <c:v>LCL</c:v>
                </c:pt>
              </c:strCache>
            </c:strRef>
          </c:tx>
          <c:spPr>
            <a:ln w="20000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Sayfa1!$A$38:$A$57</c:f>
              <c:numCache>
                <c:formatCode>m/d/yyyy</c:formatCode>
                <c:ptCount val="20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46062</c:v>
                </c:pt>
                <c:pt idx="16">
                  <c:v>46064</c:v>
                </c:pt>
                <c:pt idx="17">
                  <c:v>46065</c:v>
                </c:pt>
                <c:pt idx="18">
                  <c:v>46070</c:v>
                </c:pt>
                <c:pt idx="19">
                  <c:v>46076</c:v>
                </c:pt>
              </c:numCache>
            </c:numRef>
          </c:cat>
          <c:val>
            <c:numRef>
              <c:f>Sayfa1!$G$38:$G$57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1.5257327491788025E-3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CB-4C2E-B6FB-0EDF83E1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Kontrol Tarihi</a:t>
                </a:r>
              </a:p>
            </c:rich>
          </c:tx>
          <c:overlay val="1"/>
        </c:title>
        <c:numFmt formatCode="mm\-dd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Hatalı Oranı (p)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Yazılım SW Hatası — CUSUM Kontrol Grafiği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'CUSUM-EWMA Analizi'!$G$10</c:f>
              <c:strCache>
                <c:ptCount val="1"/>
                <c:pt idx="0">
                  <c:v>CUSUM+</c:v>
                </c:pt>
              </c:strCache>
            </c:strRef>
          </c:tx>
          <c:spPr>
            <a:ln w="18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prstDash val="solid"/>
              </a:ln>
            </c:spPr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Analizi'!$G$11:$G$156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0.35881924440217039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0.19661429744893222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0.18841464092829474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0.48516138719528534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0.31655346952671848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0.71455382306056303</c:v>
                </c:pt>
                <c:pt idx="113">
                  <c:v>7.1951100962521664E-2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1.8384833611214439</c:v>
                </c:pt>
                <c:pt idx="126">
                  <c:v>0.72928426527237367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0.68792873007258359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1.3943882186955887</c:v>
                </c:pt>
                <c:pt idx="140">
                  <c:v>0.55243890372159354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0.8269186164732425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C8-401D-BDF5-826A36CA8AF1}"/>
            </c:ext>
          </c:extLst>
        </c:ser>
        <c:ser>
          <c:idx val="1"/>
          <c:order val="1"/>
          <c:tx>
            <c:strRef>
              <c:f>'CUSUM-EWMA Analizi'!$H$10</c:f>
              <c:strCache>
                <c:ptCount val="1"/>
                <c:pt idx="0">
                  <c:v>CUSUM-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prstDash val="solid"/>
              </a:ln>
            </c:spPr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Analizi'!$H$11:$H$156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0.14171224944118643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0.22121326701084443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2.8785045939608955E-2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1.9081743692136444E-2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9.1935667892742989E-3</c:v>
                </c:pt>
                <c:pt idx="66">
                  <c:v>0</c:v>
                </c:pt>
                <c:pt idx="67">
                  <c:v>0.11748789992858188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9.6549986271893595E-2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8.3626793300879965E-2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8.7966085710826425E-2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5.2297967809558754E-2</c:v>
                </c:pt>
                <c:pt idx="104">
                  <c:v>8.8494409044936329E-3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0.10919909584907039</c:v>
                </c:pt>
                <c:pt idx="127">
                  <c:v>2.4953902162906549E-2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7.9254995465058764E-2</c:v>
                </c:pt>
                <c:pt idx="136">
                  <c:v>6.8072499355633309E-2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3.8313470929569049E-2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C8-401D-BDF5-826A36CA8AF1}"/>
            </c:ext>
          </c:extLst>
        </c:ser>
        <c:ser>
          <c:idx val="2"/>
          <c:order val="2"/>
          <c:tx>
            <c:strRef>
              <c:f>'CUSUM-EWMA Analizi'!$I$10</c:f>
              <c:strCache>
                <c:ptCount val="1"/>
                <c:pt idx="0">
                  <c:v>+H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Analizi'!$I$11:$I$156</c:f>
              <c:numCache>
                <c:formatCode>General</c:formatCode>
                <c:ptCount val="14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C8-401D-BDF5-826A36CA8AF1}"/>
            </c:ext>
          </c:extLst>
        </c:ser>
        <c:ser>
          <c:idx val="3"/>
          <c:order val="3"/>
          <c:tx>
            <c:strRef>
              <c:f>'CUSUM-EWMA Analizi'!$J$10</c:f>
              <c:strCache>
                <c:ptCount val="1"/>
                <c:pt idx="0">
                  <c:v>-H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Analizi'!$J$11:$J$156</c:f>
              <c:numCache>
                <c:formatCode>General</c:formatCode>
                <c:ptCount val="146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-5</c:v>
                </c:pt>
                <c:pt idx="37">
                  <c:v>-5</c:v>
                </c:pt>
                <c:pt idx="38">
                  <c:v>-5</c:v>
                </c:pt>
                <c:pt idx="39">
                  <c:v>-5</c:v>
                </c:pt>
                <c:pt idx="40">
                  <c:v>-5</c:v>
                </c:pt>
                <c:pt idx="41">
                  <c:v>-5</c:v>
                </c:pt>
                <c:pt idx="42">
                  <c:v>-5</c:v>
                </c:pt>
                <c:pt idx="43">
                  <c:v>-5</c:v>
                </c:pt>
                <c:pt idx="44">
                  <c:v>-5</c:v>
                </c:pt>
                <c:pt idx="45">
                  <c:v>-5</c:v>
                </c:pt>
                <c:pt idx="46">
                  <c:v>-5</c:v>
                </c:pt>
                <c:pt idx="47">
                  <c:v>-5</c:v>
                </c:pt>
                <c:pt idx="48">
                  <c:v>-5</c:v>
                </c:pt>
                <c:pt idx="49">
                  <c:v>-5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-5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  <c:pt idx="62">
                  <c:v>-5</c:v>
                </c:pt>
                <c:pt idx="63">
                  <c:v>-5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-5</c:v>
                </c:pt>
                <c:pt idx="68">
                  <c:v>-5</c:v>
                </c:pt>
                <c:pt idx="69">
                  <c:v>-5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-5</c:v>
                </c:pt>
                <c:pt idx="93">
                  <c:v>-5</c:v>
                </c:pt>
                <c:pt idx="94">
                  <c:v>-5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C8-401D-BDF5-826A36CA8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Kontrol Tarihi</a:t>
                </a:r>
              </a:p>
            </c:rich>
          </c:tx>
          <c:overlay val="1"/>
        </c:title>
        <c:numFmt formatCode="mm\-dd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Standartlaştırılmış Kümülatif Toplam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Yazılım SW Hatası — EWMA Kontrol Grafiği (</a:t>
            </a:r>
            <a:r>
              <a:rPr lang="el-GR"/>
              <a:t>λ)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'CUSUM-EWMA Analizi'!$K$10</c:f>
              <c:strCache>
                <c:ptCount val="1"/>
                <c:pt idx="0">
                  <c:v>EWMA (z)</c:v>
                </c:pt>
              </c:strCache>
            </c:strRef>
          </c:tx>
          <c:spPr>
            <a:ln w="18000">
              <a:solidFill>
                <a:srgbClr val="5482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48235"/>
              </a:solidFill>
              <a:ln>
                <a:prstDash val="solid"/>
              </a:ln>
            </c:spPr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Analizi'!$K$11:$K$156</c:f>
              <c:numCache>
                <c:formatCode>General</c:formatCode>
                <c:ptCount val="146"/>
                <c:pt idx="0">
                  <c:v>-2.0167070362237166E-2</c:v>
                </c:pt>
                <c:pt idx="1">
                  <c:v>-9.9284617552556964E-2</c:v>
                </c:pt>
                <c:pt idx="2">
                  <c:v>-9.3687966251849719E-2</c:v>
                </c:pt>
                <c:pt idx="3">
                  <c:v>-0.20329282288971706</c:v>
                </c:pt>
                <c:pt idx="4">
                  <c:v>-0.19756464881898492</c:v>
                </c:pt>
                <c:pt idx="5">
                  <c:v>-0.18993865709396116</c:v>
                </c:pt>
                <c:pt idx="6">
                  <c:v>-0.20134995766945549</c:v>
                </c:pt>
                <c:pt idx="7">
                  <c:v>-9.7385049018730283E-2</c:v>
                </c:pt>
                <c:pt idx="8">
                  <c:v>-0.22215069261715312</c:v>
                </c:pt>
                <c:pt idx="9">
                  <c:v>-0.19788762445595967</c:v>
                </c:pt>
                <c:pt idx="10">
                  <c:v>-0.16558075804495895</c:v>
                </c:pt>
                <c:pt idx="11">
                  <c:v>-0.13478381952762444</c:v>
                </c:pt>
                <c:pt idx="12">
                  <c:v>-0.12799412598433674</c:v>
                </c:pt>
                <c:pt idx="13">
                  <c:v>-0.11665557299727353</c:v>
                </c:pt>
                <c:pt idx="14">
                  <c:v>-0.13105359229304608</c:v>
                </c:pt>
                <c:pt idx="15">
                  <c:v>-0.13977326434164811</c:v>
                </c:pt>
                <c:pt idx="16">
                  <c:v>-0.14954774536854576</c:v>
                </c:pt>
                <c:pt idx="17">
                  <c:v>-0.19093955734385731</c:v>
                </c:pt>
                <c:pt idx="18">
                  <c:v>-0.18127219029469413</c:v>
                </c:pt>
                <c:pt idx="19">
                  <c:v>-0.16518482259799247</c:v>
                </c:pt>
                <c:pt idx="20">
                  <c:v>3.9615990802040091E-2</c:v>
                </c:pt>
                <c:pt idx="21">
                  <c:v>-2.534829619758449E-2</c:v>
                </c:pt>
                <c:pt idx="22">
                  <c:v>-5.8007770853294845E-2</c:v>
                </c:pt>
                <c:pt idx="23">
                  <c:v>-9.3702189010888476E-2</c:v>
                </c:pt>
                <c:pt idx="24">
                  <c:v>-0.10989214171592204</c:v>
                </c:pt>
                <c:pt idx="25">
                  <c:v>-0.12824785409721196</c:v>
                </c:pt>
                <c:pt idx="26">
                  <c:v>-0.15199731527205612</c:v>
                </c:pt>
                <c:pt idx="27">
                  <c:v>-0.15348479025641812</c:v>
                </c:pt>
                <c:pt idx="28">
                  <c:v>-0.1474873482022778</c:v>
                </c:pt>
                <c:pt idx="29">
                  <c:v>-0.13815694892405941</c:v>
                </c:pt>
                <c:pt idx="30">
                  <c:v>-0.18598382692970206</c:v>
                </c:pt>
                <c:pt idx="31">
                  <c:v>-0.16895413190599881</c:v>
                </c:pt>
                <c:pt idx="32">
                  <c:v>-5.5160304942718522E-2</c:v>
                </c:pt>
                <c:pt idx="33">
                  <c:v>-7.6015181992948017E-2</c:v>
                </c:pt>
                <c:pt idx="34">
                  <c:v>-8.0979215956595574E-2</c:v>
                </c:pt>
                <c:pt idx="35">
                  <c:v>-8.4950443127513625E-2</c:v>
                </c:pt>
                <c:pt idx="36">
                  <c:v>-8.8127424864248072E-2</c:v>
                </c:pt>
                <c:pt idx="37">
                  <c:v>-0.11328275652081088</c:v>
                </c:pt>
                <c:pt idx="38">
                  <c:v>-0.15901606821144776</c:v>
                </c:pt>
                <c:pt idx="39">
                  <c:v>-0.14147312677896234</c:v>
                </c:pt>
                <c:pt idx="40">
                  <c:v>-0.12743877363297401</c:v>
                </c:pt>
                <c:pt idx="41">
                  <c:v>-0.1838700459722844</c:v>
                </c:pt>
                <c:pt idx="42">
                  <c:v>-0.20589264534891019</c:v>
                </c:pt>
                <c:pt idx="43">
                  <c:v>-0.24282084393386588</c:v>
                </c:pt>
                <c:pt idx="44">
                  <c:v>-0.20851694735689685</c:v>
                </c:pt>
                <c:pt idx="45">
                  <c:v>-2.7490698395731039E-2</c:v>
                </c:pt>
                <c:pt idx="46">
                  <c:v>-0.12774956790450664</c:v>
                </c:pt>
                <c:pt idx="47">
                  <c:v>-0.11645992653340946</c:v>
                </c:pt>
                <c:pt idx="48">
                  <c:v>-0.1615578042215266</c:v>
                </c:pt>
                <c:pt idx="49">
                  <c:v>-0.14941331373945846</c:v>
                </c:pt>
                <c:pt idx="50">
                  <c:v>1.8152277194092167E-2</c:v>
                </c:pt>
                <c:pt idx="51">
                  <c:v>-5.6452486069634312E-3</c:v>
                </c:pt>
                <c:pt idx="52">
                  <c:v>-4.485033961004508E-2</c:v>
                </c:pt>
                <c:pt idx="53">
                  <c:v>-5.604734205027323E-2</c:v>
                </c:pt>
                <c:pt idx="54">
                  <c:v>-9.8194926491439405E-2</c:v>
                </c:pt>
                <c:pt idx="55">
                  <c:v>-0.11889008191762586</c:v>
                </c:pt>
                <c:pt idx="56">
                  <c:v>-0.16641342658312142</c:v>
                </c:pt>
                <c:pt idx="57">
                  <c:v>-0.14739101347630126</c:v>
                </c:pt>
                <c:pt idx="58">
                  <c:v>-0.2114236691366439</c:v>
                </c:pt>
                <c:pt idx="59">
                  <c:v>-0.22249598816053595</c:v>
                </c:pt>
                <c:pt idx="60">
                  <c:v>-0.20988372856720197</c:v>
                </c:pt>
                <c:pt idx="61">
                  <c:v>-0.27172333159218887</c:v>
                </c:pt>
                <c:pt idx="62">
                  <c:v>-0.25771280599822544</c:v>
                </c:pt>
                <c:pt idx="63">
                  <c:v>-0.26832933026849809</c:v>
                </c:pt>
                <c:pt idx="64">
                  <c:v>-0.23483053457703565</c:v>
                </c:pt>
                <c:pt idx="65">
                  <c:v>-0.28970314101948341</c:v>
                </c:pt>
                <c:pt idx="66">
                  <c:v>-0.29864911832782415</c:v>
                </c:pt>
                <c:pt idx="67">
                  <c:v>-0.36241687464797573</c:v>
                </c:pt>
                <c:pt idx="68">
                  <c:v>-9.2901222279323542E-2</c:v>
                </c:pt>
                <c:pt idx="69">
                  <c:v>-0.11465511854793317</c:v>
                </c:pt>
                <c:pt idx="70">
                  <c:v>-0.10598436704815067</c:v>
                </c:pt>
                <c:pt idx="71">
                  <c:v>-0.11667443167729374</c:v>
                </c:pt>
                <c:pt idx="72">
                  <c:v>-0.12826993584904625</c:v>
                </c:pt>
                <c:pt idx="73">
                  <c:v>-0.12278301904147418</c:v>
                </c:pt>
                <c:pt idx="74">
                  <c:v>-0.11248668744298349</c:v>
                </c:pt>
                <c:pt idx="75">
                  <c:v>-0.20929934720876553</c:v>
                </c:pt>
                <c:pt idx="76">
                  <c:v>-0.19213899376415572</c:v>
                </c:pt>
                <c:pt idx="77">
                  <c:v>-0.17387826537356174</c:v>
                </c:pt>
                <c:pt idx="78">
                  <c:v>-0.17943675302332374</c:v>
                </c:pt>
                <c:pt idx="79">
                  <c:v>-0.20405061350537046</c:v>
                </c:pt>
                <c:pt idx="80">
                  <c:v>-0.19817088131150762</c:v>
                </c:pt>
                <c:pt idx="81">
                  <c:v>-0.24290161317112569</c:v>
                </c:pt>
                <c:pt idx="82">
                  <c:v>-0.24573743319142355</c:v>
                </c:pt>
                <c:pt idx="83">
                  <c:v>-0.31331530521331485</c:v>
                </c:pt>
                <c:pt idx="84">
                  <c:v>-0.19102055554897743</c:v>
                </c:pt>
                <c:pt idx="85">
                  <c:v>-0.18133698885879024</c:v>
                </c:pt>
                <c:pt idx="86">
                  <c:v>-6.6525130216116543E-2</c:v>
                </c:pt>
                <c:pt idx="87">
                  <c:v>-8.5107042211666442E-2</c:v>
                </c:pt>
                <c:pt idx="88">
                  <c:v>-0.13024471923925085</c:v>
                </c:pt>
                <c:pt idx="89">
                  <c:v>-0.14697659202081309</c:v>
                </c:pt>
                <c:pt idx="90">
                  <c:v>-0.15531040751187775</c:v>
                </c:pt>
                <c:pt idx="91">
                  <c:v>-0.20235505366423989</c:v>
                </c:pt>
                <c:pt idx="92">
                  <c:v>-0.1865835589285352</c:v>
                </c:pt>
                <c:pt idx="93">
                  <c:v>-0.26686006428499348</c:v>
                </c:pt>
                <c:pt idx="94">
                  <c:v>-0.26288708342228134</c:v>
                </c:pt>
                <c:pt idx="95">
                  <c:v>-0.30807316751593999</c:v>
                </c:pt>
                <c:pt idx="96">
                  <c:v>-0.27115805000989529</c:v>
                </c:pt>
                <c:pt idx="97">
                  <c:v>-0.2663254720022028</c:v>
                </c:pt>
                <c:pt idx="98">
                  <c:v>-0.27010146644097882</c:v>
                </c:pt>
                <c:pt idx="99">
                  <c:v>-0.29017972114421292</c:v>
                </c:pt>
                <c:pt idx="100">
                  <c:v>-6.8833083010026663E-2</c:v>
                </c:pt>
                <c:pt idx="101">
                  <c:v>-0.12492724742244382</c:v>
                </c:pt>
                <c:pt idx="102">
                  <c:v>-0.14723777026620766</c:v>
                </c:pt>
                <c:pt idx="103">
                  <c:v>-0.22824980977487791</c:v>
                </c:pt>
                <c:pt idx="104">
                  <c:v>-0.27391014243888934</c:v>
                </c:pt>
                <c:pt idx="105">
                  <c:v>-0.24764865837071975</c:v>
                </c:pt>
                <c:pt idx="106">
                  <c:v>-0.22281844269371912</c:v>
                </c:pt>
                <c:pt idx="107">
                  <c:v>-0.21858889487944963</c:v>
                </c:pt>
                <c:pt idx="108">
                  <c:v>-0.26506099637752689</c:v>
                </c:pt>
                <c:pt idx="109">
                  <c:v>-0.25482961373143392</c:v>
                </c:pt>
                <c:pt idx="110">
                  <c:v>-0.22856320698229043</c:v>
                </c:pt>
                <c:pt idx="111">
                  <c:v>-0.27526769206628465</c:v>
                </c:pt>
                <c:pt idx="112">
                  <c:v>2.2696610959084873E-2</c:v>
                </c:pt>
                <c:pt idx="113">
                  <c:v>-1.0363255652340381E-2</c:v>
                </c:pt>
                <c:pt idx="114">
                  <c:v>-7.815138553629479E-2</c:v>
                </c:pt>
                <c:pt idx="115">
                  <c:v>-0.12940771394127326</c:v>
                </c:pt>
                <c:pt idx="116">
                  <c:v>-0.12369324151525578</c:v>
                </c:pt>
                <c:pt idx="117">
                  <c:v>-0.11321486542200876</c:v>
                </c:pt>
                <c:pt idx="118">
                  <c:v>-0.16867861999234474</c:v>
                </c:pt>
                <c:pt idx="119">
                  <c:v>-0.17267202988910305</c:v>
                </c:pt>
                <c:pt idx="120">
                  <c:v>-0.20191149998882885</c:v>
                </c:pt>
                <c:pt idx="121">
                  <c:v>-0.2253030760686095</c:v>
                </c:pt>
                <c:pt idx="122">
                  <c:v>-0.26580409411371242</c:v>
                </c:pt>
                <c:pt idx="123">
                  <c:v>-0.24116381971057821</c:v>
                </c:pt>
                <c:pt idx="124">
                  <c:v>-0.23326519649293692</c:v>
                </c:pt>
                <c:pt idx="125">
                  <c:v>0.28108451502993925</c:v>
                </c:pt>
                <c:pt idx="126">
                  <c:v>0.10302779285413734</c:v>
                </c:pt>
                <c:pt idx="127">
                  <c:v>-7.2872697945736142E-4</c:v>
                </c:pt>
                <c:pt idx="128">
                  <c:v>-1.484325379337003E-2</c:v>
                </c:pt>
                <c:pt idx="129">
                  <c:v>-7.8761208546933442E-2</c:v>
                </c:pt>
                <c:pt idx="130">
                  <c:v>-0.1473738749594663</c:v>
                </c:pt>
                <c:pt idx="131">
                  <c:v>0.11968664604694369</c:v>
                </c:pt>
                <c:pt idx="132">
                  <c:v>5.2968500208142533E-2</c:v>
                </c:pt>
                <c:pt idx="133">
                  <c:v>-3.573192748822368E-2</c:v>
                </c:pt>
                <c:pt idx="134">
                  <c:v>-4.875261235281611E-2</c:v>
                </c:pt>
                <c:pt idx="135">
                  <c:v>-0.15485308897526465</c:v>
                </c:pt>
                <c:pt idx="136">
                  <c:v>-0.22164597195832664</c:v>
                </c:pt>
                <c:pt idx="137">
                  <c:v>-0.24266555439876397</c:v>
                </c:pt>
                <c:pt idx="138">
                  <c:v>-0.26543380456803189</c:v>
                </c:pt>
                <c:pt idx="139">
                  <c:v>0.16653060008469223</c:v>
                </c:pt>
                <c:pt idx="140">
                  <c:v>6.4834617072954751E-2</c:v>
                </c:pt>
                <c:pt idx="141">
                  <c:v>-4.0549432822088491E-2</c:v>
                </c:pt>
                <c:pt idx="142">
                  <c:v>-9.1236154828753441E-2</c:v>
                </c:pt>
                <c:pt idx="143">
                  <c:v>-0.16970679563908542</c:v>
                </c:pt>
                <c:pt idx="144">
                  <c:v>0.12961828678338014</c:v>
                </c:pt>
                <c:pt idx="145">
                  <c:v>-3.9680647592097024E-3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2-4486-93A3-5173555D67C5}"/>
            </c:ext>
          </c:extLst>
        </c:ser>
        <c:ser>
          <c:idx val="1"/>
          <c:order val="1"/>
          <c:tx>
            <c:strRef>
              <c:f>'CUSUM-EWMA Analizi'!$L$10</c:f>
              <c:strCache>
                <c:ptCount val="1"/>
                <c:pt idx="0">
                  <c:v>+Limit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Analizi'!$L$11:$L$156</c:f>
              <c:numCache>
                <c:formatCode>General</c:formatCode>
                <c:ptCount val="146"/>
                <c:pt idx="0">
                  <c:v>0.59999999999999987</c:v>
                </c:pt>
                <c:pt idx="1">
                  <c:v>0.76837490849194168</c:v>
                </c:pt>
                <c:pt idx="2">
                  <c:v>0.85898544807231747</c:v>
                </c:pt>
                <c:pt idx="3">
                  <c:v>0.91226522459205905</c:v>
                </c:pt>
                <c:pt idx="4">
                  <c:v>0.94478876877321105</c:v>
                </c:pt>
                <c:pt idx="5">
                  <c:v>0.96502876810175975</c:v>
                </c:pt>
                <c:pt idx="6">
                  <c:v>0.97776251456524965</c:v>
                </c:pt>
                <c:pt idx="7">
                  <c:v>0.98582579715126872</c:v>
                </c:pt>
                <c:pt idx="8">
                  <c:v>0.99095186638429522</c:v>
                </c:pt>
                <c:pt idx="9">
                  <c:v>0.99421868065025398</c:v>
                </c:pt>
                <c:pt idx="10">
                  <c:v>0.99630382031311915</c:v>
                </c:pt>
                <c:pt idx="11">
                  <c:v>0.99763602256390604</c:v>
                </c:pt>
                <c:pt idx="12">
                  <c:v>0.99848769919862479</c:v>
                </c:pt>
                <c:pt idx="13">
                  <c:v>0.99903239121092402</c:v>
                </c:pt>
                <c:pt idx="14">
                  <c:v>0.99938083829975177</c:v>
                </c:pt>
                <c:pt idx="15">
                  <c:v>0.99960378069255906</c:v>
                </c:pt>
                <c:pt idx="16">
                  <c:v>0.99974643773304273</c:v>
                </c:pt>
                <c:pt idx="17">
                  <c:v>0.99983772755699796</c:v>
                </c:pt>
                <c:pt idx="18">
                  <c:v>0.99989614867027998</c:v>
                </c:pt>
                <c:pt idx="19">
                  <c:v>0.99993353639150517</c:v>
                </c:pt>
                <c:pt idx="20">
                  <c:v>0.99995746379947081</c:v>
                </c:pt>
                <c:pt idx="21">
                  <c:v>0.99997277704010168</c:v>
                </c:pt>
                <c:pt idx="22">
                  <c:v>0.99998257739104002</c:v>
                </c:pt>
                <c:pt idx="23">
                  <c:v>0.99998884956523471</c:v>
                </c:pt>
                <c:pt idx="24">
                  <c:v>0.99999286373607332</c:v>
                </c:pt>
                <c:pt idx="25">
                  <c:v>0.99999543279695369</c:v>
                </c:pt>
                <c:pt idx="26">
                  <c:v>0.99999707699245344</c:v>
                </c:pt>
                <c:pt idx="27">
                  <c:v>0.99999812927615439</c:v>
                </c:pt>
                <c:pt idx="28">
                  <c:v>0.99999880273714203</c:v>
                </c:pt>
                <c:pt idx="29">
                  <c:v>0.99999923375193589</c:v>
                </c:pt>
                <c:pt idx="30">
                  <c:v>0.99999950960130679</c:v>
                </c:pt>
                <c:pt idx="31">
                  <c:v>0.99999968614486412</c:v>
                </c:pt>
                <c:pt idx="32">
                  <c:v>0.9999997991327243</c:v>
                </c:pt>
                <c:pt idx="33">
                  <c:v>0.99999987144494817</c:v>
                </c:pt>
                <c:pt idx="34">
                  <c:v>0.99999991772476882</c:v>
                </c:pt>
                <c:pt idx="35">
                  <c:v>0.99999994734385278</c:v>
                </c:pt>
                <c:pt idx="36">
                  <c:v>0.99999996630006605</c:v>
                </c:pt>
                <c:pt idx="37">
                  <c:v>0.99999997843204258</c:v>
                </c:pt>
                <c:pt idx="38">
                  <c:v>0.99999998619650721</c:v>
                </c:pt>
                <c:pt idx="39">
                  <c:v>0.99999999116576466</c:v>
                </c:pt>
                <c:pt idx="40">
                  <c:v>0.99999999434608944</c:v>
                </c:pt>
                <c:pt idx="41">
                  <c:v>0.99999999638149728</c:v>
                </c:pt>
                <c:pt idx="42">
                  <c:v>0.99999999768415826</c:v>
                </c:pt>
                <c:pt idx="43">
                  <c:v>0.99999999851786137</c:v>
                </c:pt>
                <c:pt idx="44">
                  <c:v>0.99999999905143122</c:v>
                </c:pt>
                <c:pt idx="45">
                  <c:v>0.99999999939291584</c:v>
                </c:pt>
                <c:pt idx="46">
                  <c:v>0.99999999961146624</c:v>
                </c:pt>
                <c:pt idx="47">
                  <c:v>0.99999999975133846</c:v>
                </c:pt>
                <c:pt idx="48">
                  <c:v>0.99999999984085663</c:v>
                </c:pt>
                <c:pt idx="49">
                  <c:v>0.99999999989814825</c:v>
                </c:pt>
                <c:pt idx="50">
                  <c:v>0.99999999993481492</c:v>
                </c:pt>
                <c:pt idx="51">
                  <c:v>0.99999999995828148</c:v>
                </c:pt>
                <c:pt idx="52">
                  <c:v>0.99999999997330014</c:v>
                </c:pt>
                <c:pt idx="53">
                  <c:v>0.99999999998291211</c:v>
                </c:pt>
                <c:pt idx="54">
                  <c:v>0.99999999998906386</c:v>
                </c:pt>
                <c:pt idx="55">
                  <c:v>0.99999999999300093</c:v>
                </c:pt>
                <c:pt idx="56">
                  <c:v>0.99999999999552047</c:v>
                </c:pt>
                <c:pt idx="57">
                  <c:v>0.99999999999713307</c:v>
                </c:pt>
                <c:pt idx="58">
                  <c:v>0.99999999999816525</c:v>
                </c:pt>
                <c:pt idx="59">
                  <c:v>0.99999999999882572</c:v>
                </c:pt>
                <c:pt idx="60">
                  <c:v>0.9999999999992486</c:v>
                </c:pt>
                <c:pt idx="61">
                  <c:v>0.99999999999951905</c:v>
                </c:pt>
                <c:pt idx="62">
                  <c:v>0.99999999999969225</c:v>
                </c:pt>
                <c:pt idx="63">
                  <c:v>0.99999999999980294</c:v>
                </c:pt>
                <c:pt idx="64">
                  <c:v>0.99999999999987388</c:v>
                </c:pt>
                <c:pt idx="65">
                  <c:v>0.9999999999999194</c:v>
                </c:pt>
                <c:pt idx="66">
                  <c:v>0.99999999999994826</c:v>
                </c:pt>
                <c:pt idx="67">
                  <c:v>0.99999999999996692</c:v>
                </c:pt>
                <c:pt idx="68">
                  <c:v>0.99999999999997879</c:v>
                </c:pt>
                <c:pt idx="69">
                  <c:v>0.99999999999998646</c:v>
                </c:pt>
                <c:pt idx="70">
                  <c:v>0.99999999999999134</c:v>
                </c:pt>
                <c:pt idx="71">
                  <c:v>0.99999999999999445</c:v>
                </c:pt>
                <c:pt idx="72">
                  <c:v>0.99999999999999645</c:v>
                </c:pt>
                <c:pt idx="73">
                  <c:v>0.99999999999999778</c:v>
                </c:pt>
                <c:pt idx="74">
                  <c:v>0.99999999999999867</c:v>
                </c:pt>
                <c:pt idx="75">
                  <c:v>0.99999999999999911</c:v>
                </c:pt>
                <c:pt idx="76">
                  <c:v>0.99999999999999944</c:v>
                </c:pt>
                <c:pt idx="77">
                  <c:v>0.99999999999999956</c:v>
                </c:pt>
                <c:pt idx="78">
                  <c:v>0.99999999999999978</c:v>
                </c:pt>
                <c:pt idx="79">
                  <c:v>0.99999999999999978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2-4486-93A3-5173555D67C5}"/>
            </c:ext>
          </c:extLst>
        </c:ser>
        <c:ser>
          <c:idx val="2"/>
          <c:order val="2"/>
          <c:tx>
            <c:strRef>
              <c:f>'CUSUM-EWMA Analizi'!$M$10</c:f>
              <c:strCache>
                <c:ptCount val="1"/>
                <c:pt idx="0">
                  <c:v>-Limit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Analizi'!$A$11:$A$156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Analizi'!$M$11:$M$156</c:f>
              <c:numCache>
                <c:formatCode>General</c:formatCode>
                <c:ptCount val="146"/>
                <c:pt idx="0">
                  <c:v>-0.59999999999999987</c:v>
                </c:pt>
                <c:pt idx="1">
                  <c:v>-0.76837490849194168</c:v>
                </c:pt>
                <c:pt idx="2">
                  <c:v>-0.85898544807231747</c:v>
                </c:pt>
                <c:pt idx="3">
                  <c:v>-0.91226522459205905</c:v>
                </c:pt>
                <c:pt idx="4">
                  <c:v>-0.94478876877321105</c:v>
                </c:pt>
                <c:pt idx="5">
                  <c:v>-0.96502876810175975</c:v>
                </c:pt>
                <c:pt idx="6">
                  <c:v>-0.97776251456524965</c:v>
                </c:pt>
                <c:pt idx="7">
                  <c:v>-0.98582579715126872</c:v>
                </c:pt>
                <c:pt idx="8">
                  <c:v>-0.99095186638429522</c:v>
                </c:pt>
                <c:pt idx="9">
                  <c:v>-0.99421868065025398</c:v>
                </c:pt>
                <c:pt idx="10">
                  <c:v>-0.99630382031311915</c:v>
                </c:pt>
                <c:pt idx="11">
                  <c:v>-0.99763602256390604</c:v>
                </c:pt>
                <c:pt idx="12">
                  <c:v>-0.99848769919862479</c:v>
                </c:pt>
                <c:pt idx="13">
                  <c:v>-0.99903239121092402</c:v>
                </c:pt>
                <c:pt idx="14">
                  <c:v>-0.99938083829975177</c:v>
                </c:pt>
                <c:pt idx="15">
                  <c:v>-0.99960378069255906</c:v>
                </c:pt>
                <c:pt idx="16">
                  <c:v>-0.99974643773304273</c:v>
                </c:pt>
                <c:pt idx="17">
                  <c:v>-0.99983772755699796</c:v>
                </c:pt>
                <c:pt idx="18">
                  <c:v>-0.99989614867027998</c:v>
                </c:pt>
                <c:pt idx="19">
                  <c:v>-0.99993353639150517</c:v>
                </c:pt>
                <c:pt idx="20">
                  <c:v>-0.99995746379947081</c:v>
                </c:pt>
                <c:pt idx="21">
                  <c:v>-0.99997277704010168</c:v>
                </c:pt>
                <c:pt idx="22">
                  <c:v>-0.99998257739104002</c:v>
                </c:pt>
                <c:pt idx="23">
                  <c:v>-0.99998884956523471</c:v>
                </c:pt>
                <c:pt idx="24">
                  <c:v>-0.99999286373607332</c:v>
                </c:pt>
                <c:pt idx="25">
                  <c:v>-0.99999543279695369</c:v>
                </c:pt>
                <c:pt idx="26">
                  <c:v>-0.99999707699245344</c:v>
                </c:pt>
                <c:pt idx="27">
                  <c:v>-0.99999812927615439</c:v>
                </c:pt>
                <c:pt idx="28">
                  <c:v>-0.99999880273714203</c:v>
                </c:pt>
                <c:pt idx="29">
                  <c:v>-0.99999923375193589</c:v>
                </c:pt>
                <c:pt idx="30">
                  <c:v>-0.99999950960130679</c:v>
                </c:pt>
                <c:pt idx="31">
                  <c:v>-0.99999968614486412</c:v>
                </c:pt>
                <c:pt idx="32">
                  <c:v>-0.9999997991327243</c:v>
                </c:pt>
                <c:pt idx="33">
                  <c:v>-0.99999987144494817</c:v>
                </c:pt>
                <c:pt idx="34">
                  <c:v>-0.99999991772476882</c:v>
                </c:pt>
                <c:pt idx="35">
                  <c:v>-0.99999994734385278</c:v>
                </c:pt>
                <c:pt idx="36">
                  <c:v>-0.99999996630006605</c:v>
                </c:pt>
                <c:pt idx="37">
                  <c:v>-0.99999997843204258</c:v>
                </c:pt>
                <c:pt idx="38">
                  <c:v>-0.99999998619650721</c:v>
                </c:pt>
                <c:pt idx="39">
                  <c:v>-0.99999999116576466</c:v>
                </c:pt>
                <c:pt idx="40">
                  <c:v>-0.99999999434608944</c:v>
                </c:pt>
                <c:pt idx="41">
                  <c:v>-0.99999999638149728</c:v>
                </c:pt>
                <c:pt idx="42">
                  <c:v>-0.99999999768415826</c:v>
                </c:pt>
                <c:pt idx="43">
                  <c:v>-0.99999999851786137</c:v>
                </c:pt>
                <c:pt idx="44">
                  <c:v>-0.99999999905143122</c:v>
                </c:pt>
                <c:pt idx="45">
                  <c:v>-0.99999999939291584</c:v>
                </c:pt>
                <c:pt idx="46">
                  <c:v>-0.99999999961146624</c:v>
                </c:pt>
                <c:pt idx="47">
                  <c:v>-0.99999999975133846</c:v>
                </c:pt>
                <c:pt idx="48">
                  <c:v>-0.99999999984085663</c:v>
                </c:pt>
                <c:pt idx="49">
                  <c:v>-0.99999999989814825</c:v>
                </c:pt>
                <c:pt idx="50">
                  <c:v>-0.99999999993481492</c:v>
                </c:pt>
                <c:pt idx="51">
                  <c:v>-0.99999999995828148</c:v>
                </c:pt>
                <c:pt idx="52">
                  <c:v>-0.99999999997330014</c:v>
                </c:pt>
                <c:pt idx="53">
                  <c:v>-0.99999999998291211</c:v>
                </c:pt>
                <c:pt idx="54">
                  <c:v>-0.99999999998906386</c:v>
                </c:pt>
                <c:pt idx="55">
                  <c:v>-0.99999999999300093</c:v>
                </c:pt>
                <c:pt idx="56">
                  <c:v>-0.99999999999552047</c:v>
                </c:pt>
                <c:pt idx="57">
                  <c:v>-0.99999999999713307</c:v>
                </c:pt>
                <c:pt idx="58">
                  <c:v>-0.99999999999816525</c:v>
                </c:pt>
                <c:pt idx="59">
                  <c:v>-0.99999999999882572</c:v>
                </c:pt>
                <c:pt idx="60">
                  <c:v>-0.9999999999992486</c:v>
                </c:pt>
                <c:pt idx="61">
                  <c:v>-0.99999999999951905</c:v>
                </c:pt>
                <c:pt idx="62">
                  <c:v>-0.99999999999969225</c:v>
                </c:pt>
                <c:pt idx="63">
                  <c:v>-0.99999999999980294</c:v>
                </c:pt>
                <c:pt idx="64">
                  <c:v>-0.99999999999987388</c:v>
                </c:pt>
                <c:pt idx="65">
                  <c:v>-0.9999999999999194</c:v>
                </c:pt>
                <c:pt idx="66">
                  <c:v>-0.99999999999994826</c:v>
                </c:pt>
                <c:pt idx="67">
                  <c:v>-0.99999999999996692</c:v>
                </c:pt>
                <c:pt idx="68">
                  <c:v>-0.99999999999997879</c:v>
                </c:pt>
                <c:pt idx="69">
                  <c:v>-0.99999999999998646</c:v>
                </c:pt>
                <c:pt idx="70">
                  <c:v>-0.99999999999999134</c:v>
                </c:pt>
                <c:pt idx="71">
                  <c:v>-0.99999999999999445</c:v>
                </c:pt>
                <c:pt idx="72">
                  <c:v>-0.99999999999999645</c:v>
                </c:pt>
                <c:pt idx="73">
                  <c:v>-0.99999999999999778</c:v>
                </c:pt>
                <c:pt idx="74">
                  <c:v>-0.99999999999999867</c:v>
                </c:pt>
                <c:pt idx="75">
                  <c:v>-0.99999999999999911</c:v>
                </c:pt>
                <c:pt idx="76">
                  <c:v>-0.99999999999999944</c:v>
                </c:pt>
                <c:pt idx="77">
                  <c:v>-0.99999999999999956</c:v>
                </c:pt>
                <c:pt idx="78">
                  <c:v>-0.99999999999999978</c:v>
                </c:pt>
                <c:pt idx="79">
                  <c:v>-0.99999999999999978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2-4486-93A3-5173555D6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numFmt formatCode="mm\-dd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Standartlaştırılmış EWMA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0337423177064202"/>
          <c:y val="0.87825937954531885"/>
          <c:w val="0.24723405551601121"/>
          <c:h val="6.1010181513877541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Elektronik-Fonksiyon Hatası — CUSUM Kontrol Grafiği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'CUSUM-EWMA Analizi'!$U$10</c:f>
              <c:strCache>
                <c:ptCount val="1"/>
                <c:pt idx="0">
                  <c:v>CUSUM+</c:v>
                </c:pt>
              </c:strCache>
            </c:strRef>
          </c:tx>
          <c:spPr>
            <a:ln w="18000">
              <a:solidFill>
                <a:srgbClr val="C0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prstDash val="solid"/>
              </a:ln>
            </c:spPr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Analizi'!$U$11:$U$156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1.850528059011133</c:v>
                </c:pt>
                <c:pt idx="8">
                  <c:v>4.1624274893333375</c:v>
                </c:pt>
                <c:pt idx="9">
                  <c:v>3.5545017167394324</c:v>
                </c:pt>
                <c:pt idx="10">
                  <c:v>1.9618365484586293</c:v>
                </c:pt>
                <c:pt idx="11">
                  <c:v>1.2749036268798606</c:v>
                </c:pt>
                <c:pt idx="12">
                  <c:v>0.66697785428595524</c:v>
                </c:pt>
                <c:pt idx="13">
                  <c:v>9.0662808620007529E-2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1.4883131551954207</c:v>
                </c:pt>
                <c:pt idx="32">
                  <c:v>3.6732938677112474</c:v>
                </c:pt>
                <c:pt idx="33">
                  <c:v>3.0026482378961878</c:v>
                </c:pt>
                <c:pt idx="34">
                  <c:v>2.3947224653022827</c:v>
                </c:pt>
                <c:pt idx="35">
                  <c:v>1.7867966927083774</c:v>
                </c:pt>
                <c:pt idx="36">
                  <c:v>1.178870920114472</c:v>
                </c:pt>
                <c:pt idx="37">
                  <c:v>3.1909700053431544</c:v>
                </c:pt>
                <c:pt idx="38">
                  <c:v>2.3249759036353526</c:v>
                </c:pt>
                <c:pt idx="39">
                  <c:v>1.748660857969405</c:v>
                </c:pt>
                <c:pt idx="40">
                  <c:v>1.1723458123034574</c:v>
                </c:pt>
                <c:pt idx="41">
                  <c:v>0.23394925160201019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1.9195022224370812</c:v>
                </c:pt>
                <c:pt idx="46">
                  <c:v>0.85353469622664324</c:v>
                </c:pt>
                <c:pt idx="47">
                  <c:v>0.27721965056069553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1.3728277503058135</c:v>
                </c:pt>
                <c:pt idx="78">
                  <c:v>0.65697620511800281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1.4883131551954207</c:v>
                </c:pt>
                <c:pt idx="87">
                  <c:v>0.81766752538036092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0.7112086183816646</c:v>
                </c:pt>
                <c:pt idx="92">
                  <c:v>7.9027081906304142E-2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0.43680080195523618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3-4AC5-A36E-218C2B86EF5D}"/>
            </c:ext>
          </c:extLst>
        </c:ser>
        <c:ser>
          <c:idx val="1"/>
          <c:order val="1"/>
          <c:tx>
            <c:strRef>
              <c:f>'CUSUM-EWMA Analizi'!$V$10</c:f>
              <c:strCache>
                <c:ptCount val="1"/>
                <c:pt idx="0">
                  <c:v>CUSUM-</c:v>
                </c:pt>
              </c:strCache>
            </c:strRef>
          </c:tx>
          <c:spPr>
            <a:ln w="18000">
              <a:solidFill>
                <a:srgbClr val="2E75B6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2E75B6"/>
              </a:solidFill>
              <a:ln>
                <a:prstDash val="solid"/>
              </a:ln>
            </c:spPr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Analizi'!$V$11:$V$156</c:f>
              <c:numCache>
                <c:formatCode>General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0.18683541099352952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0.59266516828080307</c:v>
                </c:pt>
                <c:pt idx="11">
                  <c:v>0.27959808985957185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0.20771661897233196</c:v>
                </c:pt>
                <c:pt idx="21">
                  <c:v>1.2976801636122859E-2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6.5967526210437999E-2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4.3122043375198871E-4</c:v>
                </c:pt>
                <c:pt idx="59">
                  <c:v>0</c:v>
                </c:pt>
                <c:pt idx="60">
                  <c:v>0</c:v>
                </c:pt>
                <c:pt idx="61">
                  <c:v>5.5581918653560436E-2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4.4998436644344886E-2</c:v>
                </c:pt>
                <c:pt idx="66">
                  <c:v>0</c:v>
                </c:pt>
                <c:pt idx="67">
                  <c:v>0.14755463556343207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0.13849748131821005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0.12466557057733785</c:v>
                </c:pt>
                <c:pt idx="84">
                  <c:v>0.5499363259048613</c:v>
                </c:pt>
                <c:pt idx="85">
                  <c:v>0.20256641723675672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0.12930998820907535</c:v>
                </c:pt>
                <c:pt idx="94">
                  <c:v>0</c:v>
                </c:pt>
                <c:pt idx="95">
                  <c:v>2.3189593899570204E-2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0.64217901735193594</c:v>
                </c:pt>
                <c:pt idx="101">
                  <c:v>0.51604486050947351</c:v>
                </c:pt>
                <c:pt idx="102">
                  <c:v>0.26915323284226017</c:v>
                </c:pt>
                <c:pt idx="103">
                  <c:v>0.3602870347008082</c:v>
                </c:pt>
                <c:pt idx="104">
                  <c:v>0.34894175328523275</c:v>
                </c:pt>
                <c:pt idx="105">
                  <c:v>1.5718446171281708E-3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0.50086244086750398</c:v>
                </c:pt>
                <c:pt idx="113">
                  <c:v>0.1534925321993994</c:v>
                </c:pt>
                <c:pt idx="114">
                  <c:v>2.735837535693697E-2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0.48915604469632346</c:v>
                </c:pt>
                <c:pt idx="126">
                  <c:v>0.64119208069025935</c:v>
                </c:pt>
                <c:pt idx="127">
                  <c:v>0.58618144082132284</c:v>
                </c:pt>
                <c:pt idx="128">
                  <c:v>0.16249648648727055</c:v>
                </c:pt>
                <c:pt idx="129">
                  <c:v>2.0445779390476482E-2</c:v>
                </c:pt>
                <c:pt idx="130">
                  <c:v>0</c:v>
                </c:pt>
                <c:pt idx="131">
                  <c:v>0.50955316062317646</c:v>
                </c:pt>
                <c:pt idx="132">
                  <c:v>0.23849829762101959</c:v>
                </c:pt>
                <c:pt idx="133">
                  <c:v>0.15649301750378386</c:v>
                </c:pt>
                <c:pt idx="134">
                  <c:v>0</c:v>
                </c:pt>
                <c:pt idx="135">
                  <c:v>0.1199863618417063</c:v>
                </c:pt>
                <c:pt idx="136">
                  <c:v>0.14317595574127651</c:v>
                </c:pt>
                <c:pt idx="137">
                  <c:v>0</c:v>
                </c:pt>
                <c:pt idx="138">
                  <c:v>0</c:v>
                </c:pt>
                <c:pt idx="139">
                  <c:v>0.60327381676268321</c:v>
                </c:pt>
                <c:pt idx="140">
                  <c:v>0.46926791847048499</c:v>
                </c:pt>
                <c:pt idx="141">
                  <c:v>0.46384594081864672</c:v>
                </c:pt>
                <c:pt idx="142">
                  <c:v>0.2785009349231844</c:v>
                </c:pt>
                <c:pt idx="143">
                  <c:v>0.2960947573069157</c:v>
                </c:pt>
                <c:pt idx="144">
                  <c:v>0.76141221348354049</c:v>
                </c:pt>
                <c:pt idx="145">
                  <c:v>0.83757817318157235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3-4AC5-A36E-218C2B86EF5D}"/>
            </c:ext>
          </c:extLst>
        </c:ser>
        <c:ser>
          <c:idx val="2"/>
          <c:order val="2"/>
          <c:tx>
            <c:strRef>
              <c:f>'CUSUM-EWMA Analizi'!$W$10</c:f>
              <c:strCache>
                <c:ptCount val="1"/>
                <c:pt idx="0">
                  <c:v>+H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Analizi'!$W$11:$W$156</c:f>
              <c:numCache>
                <c:formatCode>General</c:formatCode>
                <c:ptCount val="14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3-4AC5-A36E-218C2B86EF5D}"/>
            </c:ext>
          </c:extLst>
        </c:ser>
        <c:ser>
          <c:idx val="3"/>
          <c:order val="3"/>
          <c:tx>
            <c:strRef>
              <c:f>'CUSUM-EWMA Analizi'!$X$10</c:f>
              <c:strCache>
                <c:ptCount val="1"/>
                <c:pt idx="0">
                  <c:v>-H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Analizi'!$X$11:$X$156</c:f>
              <c:numCache>
                <c:formatCode>General</c:formatCode>
                <c:ptCount val="146"/>
                <c:pt idx="0">
                  <c:v>-5</c:v>
                </c:pt>
                <c:pt idx="1">
                  <c:v>-5</c:v>
                </c:pt>
                <c:pt idx="2">
                  <c:v>-5</c:v>
                </c:pt>
                <c:pt idx="3">
                  <c:v>-5</c:v>
                </c:pt>
                <c:pt idx="4">
                  <c:v>-5</c:v>
                </c:pt>
                <c:pt idx="5">
                  <c:v>-5</c:v>
                </c:pt>
                <c:pt idx="6">
                  <c:v>-5</c:v>
                </c:pt>
                <c:pt idx="7">
                  <c:v>-5</c:v>
                </c:pt>
                <c:pt idx="8">
                  <c:v>-5</c:v>
                </c:pt>
                <c:pt idx="9">
                  <c:v>-5</c:v>
                </c:pt>
                <c:pt idx="10">
                  <c:v>-5</c:v>
                </c:pt>
                <c:pt idx="11">
                  <c:v>-5</c:v>
                </c:pt>
                <c:pt idx="12">
                  <c:v>-5</c:v>
                </c:pt>
                <c:pt idx="13">
                  <c:v>-5</c:v>
                </c:pt>
                <c:pt idx="14">
                  <c:v>-5</c:v>
                </c:pt>
                <c:pt idx="15">
                  <c:v>-5</c:v>
                </c:pt>
                <c:pt idx="16">
                  <c:v>-5</c:v>
                </c:pt>
                <c:pt idx="17">
                  <c:v>-5</c:v>
                </c:pt>
                <c:pt idx="18">
                  <c:v>-5</c:v>
                </c:pt>
                <c:pt idx="19">
                  <c:v>-5</c:v>
                </c:pt>
                <c:pt idx="20">
                  <c:v>-5</c:v>
                </c:pt>
                <c:pt idx="21">
                  <c:v>-5</c:v>
                </c:pt>
                <c:pt idx="22">
                  <c:v>-5</c:v>
                </c:pt>
                <c:pt idx="23">
                  <c:v>-5</c:v>
                </c:pt>
                <c:pt idx="24">
                  <c:v>-5</c:v>
                </c:pt>
                <c:pt idx="25">
                  <c:v>-5</c:v>
                </c:pt>
                <c:pt idx="26">
                  <c:v>-5</c:v>
                </c:pt>
                <c:pt idx="27">
                  <c:v>-5</c:v>
                </c:pt>
                <c:pt idx="28">
                  <c:v>-5</c:v>
                </c:pt>
                <c:pt idx="29">
                  <c:v>-5</c:v>
                </c:pt>
                <c:pt idx="30">
                  <c:v>-5</c:v>
                </c:pt>
                <c:pt idx="31">
                  <c:v>-5</c:v>
                </c:pt>
                <c:pt idx="32">
                  <c:v>-5</c:v>
                </c:pt>
                <c:pt idx="33">
                  <c:v>-5</c:v>
                </c:pt>
                <c:pt idx="34">
                  <c:v>-5</c:v>
                </c:pt>
                <c:pt idx="35">
                  <c:v>-5</c:v>
                </c:pt>
                <c:pt idx="36">
                  <c:v>-5</c:v>
                </c:pt>
                <c:pt idx="37">
                  <c:v>-5</c:v>
                </c:pt>
                <c:pt idx="38">
                  <c:v>-5</c:v>
                </c:pt>
                <c:pt idx="39">
                  <c:v>-5</c:v>
                </c:pt>
                <c:pt idx="40">
                  <c:v>-5</c:v>
                </c:pt>
                <c:pt idx="41">
                  <c:v>-5</c:v>
                </c:pt>
                <c:pt idx="42">
                  <c:v>-5</c:v>
                </c:pt>
                <c:pt idx="43">
                  <c:v>-5</c:v>
                </c:pt>
                <c:pt idx="44">
                  <c:v>-5</c:v>
                </c:pt>
                <c:pt idx="45">
                  <c:v>-5</c:v>
                </c:pt>
                <c:pt idx="46">
                  <c:v>-5</c:v>
                </c:pt>
                <c:pt idx="47">
                  <c:v>-5</c:v>
                </c:pt>
                <c:pt idx="48">
                  <c:v>-5</c:v>
                </c:pt>
                <c:pt idx="49">
                  <c:v>-5</c:v>
                </c:pt>
                <c:pt idx="50">
                  <c:v>-5</c:v>
                </c:pt>
                <c:pt idx="51">
                  <c:v>-5</c:v>
                </c:pt>
                <c:pt idx="52">
                  <c:v>-5</c:v>
                </c:pt>
                <c:pt idx="53">
                  <c:v>-5</c:v>
                </c:pt>
                <c:pt idx="54">
                  <c:v>-5</c:v>
                </c:pt>
                <c:pt idx="55">
                  <c:v>-5</c:v>
                </c:pt>
                <c:pt idx="56">
                  <c:v>-5</c:v>
                </c:pt>
                <c:pt idx="57">
                  <c:v>-5</c:v>
                </c:pt>
                <c:pt idx="58">
                  <c:v>-5</c:v>
                </c:pt>
                <c:pt idx="59">
                  <c:v>-5</c:v>
                </c:pt>
                <c:pt idx="60">
                  <c:v>-5</c:v>
                </c:pt>
                <c:pt idx="61">
                  <c:v>-5</c:v>
                </c:pt>
                <c:pt idx="62">
                  <c:v>-5</c:v>
                </c:pt>
                <c:pt idx="63">
                  <c:v>-5</c:v>
                </c:pt>
                <c:pt idx="64">
                  <c:v>-5</c:v>
                </c:pt>
                <c:pt idx="65">
                  <c:v>-5</c:v>
                </c:pt>
                <c:pt idx="66">
                  <c:v>-5</c:v>
                </c:pt>
                <c:pt idx="67">
                  <c:v>-5</c:v>
                </c:pt>
                <c:pt idx="68">
                  <c:v>-5</c:v>
                </c:pt>
                <c:pt idx="69">
                  <c:v>-5</c:v>
                </c:pt>
                <c:pt idx="70">
                  <c:v>-5</c:v>
                </c:pt>
                <c:pt idx="71">
                  <c:v>-5</c:v>
                </c:pt>
                <c:pt idx="72">
                  <c:v>-5</c:v>
                </c:pt>
                <c:pt idx="73">
                  <c:v>-5</c:v>
                </c:pt>
                <c:pt idx="74">
                  <c:v>-5</c:v>
                </c:pt>
                <c:pt idx="75">
                  <c:v>-5</c:v>
                </c:pt>
                <c:pt idx="76">
                  <c:v>-5</c:v>
                </c:pt>
                <c:pt idx="77">
                  <c:v>-5</c:v>
                </c:pt>
                <c:pt idx="78">
                  <c:v>-5</c:v>
                </c:pt>
                <c:pt idx="79">
                  <c:v>-5</c:v>
                </c:pt>
                <c:pt idx="80">
                  <c:v>-5</c:v>
                </c:pt>
                <c:pt idx="81">
                  <c:v>-5</c:v>
                </c:pt>
                <c:pt idx="82">
                  <c:v>-5</c:v>
                </c:pt>
                <c:pt idx="83">
                  <c:v>-5</c:v>
                </c:pt>
                <c:pt idx="84">
                  <c:v>-5</c:v>
                </c:pt>
                <c:pt idx="85">
                  <c:v>-5</c:v>
                </c:pt>
                <c:pt idx="86">
                  <c:v>-5</c:v>
                </c:pt>
                <c:pt idx="87">
                  <c:v>-5</c:v>
                </c:pt>
                <c:pt idx="88">
                  <c:v>-5</c:v>
                </c:pt>
                <c:pt idx="89">
                  <c:v>-5</c:v>
                </c:pt>
                <c:pt idx="90">
                  <c:v>-5</c:v>
                </c:pt>
                <c:pt idx="91">
                  <c:v>-5</c:v>
                </c:pt>
                <c:pt idx="92">
                  <c:v>-5</c:v>
                </c:pt>
                <c:pt idx="93">
                  <c:v>-5</c:v>
                </c:pt>
                <c:pt idx="94">
                  <c:v>-5</c:v>
                </c:pt>
                <c:pt idx="95">
                  <c:v>-5</c:v>
                </c:pt>
                <c:pt idx="96">
                  <c:v>-5</c:v>
                </c:pt>
                <c:pt idx="97">
                  <c:v>-5</c:v>
                </c:pt>
                <c:pt idx="98">
                  <c:v>-5</c:v>
                </c:pt>
                <c:pt idx="99">
                  <c:v>-5</c:v>
                </c:pt>
                <c:pt idx="100">
                  <c:v>-5</c:v>
                </c:pt>
                <c:pt idx="101">
                  <c:v>-5</c:v>
                </c:pt>
                <c:pt idx="102">
                  <c:v>-5</c:v>
                </c:pt>
                <c:pt idx="103">
                  <c:v>-5</c:v>
                </c:pt>
                <c:pt idx="104">
                  <c:v>-5</c:v>
                </c:pt>
                <c:pt idx="105">
                  <c:v>-5</c:v>
                </c:pt>
                <c:pt idx="106">
                  <c:v>-5</c:v>
                </c:pt>
                <c:pt idx="107">
                  <c:v>-5</c:v>
                </c:pt>
                <c:pt idx="108">
                  <c:v>-5</c:v>
                </c:pt>
                <c:pt idx="109">
                  <c:v>-5</c:v>
                </c:pt>
                <c:pt idx="110">
                  <c:v>-5</c:v>
                </c:pt>
                <c:pt idx="111">
                  <c:v>-5</c:v>
                </c:pt>
                <c:pt idx="112">
                  <c:v>-5</c:v>
                </c:pt>
                <c:pt idx="113">
                  <c:v>-5</c:v>
                </c:pt>
                <c:pt idx="114">
                  <c:v>-5</c:v>
                </c:pt>
                <c:pt idx="115">
                  <c:v>-5</c:v>
                </c:pt>
                <c:pt idx="116">
                  <c:v>-5</c:v>
                </c:pt>
                <c:pt idx="117">
                  <c:v>-5</c:v>
                </c:pt>
                <c:pt idx="118">
                  <c:v>-5</c:v>
                </c:pt>
                <c:pt idx="119">
                  <c:v>-5</c:v>
                </c:pt>
                <c:pt idx="120">
                  <c:v>-5</c:v>
                </c:pt>
                <c:pt idx="121">
                  <c:v>-5</c:v>
                </c:pt>
                <c:pt idx="122">
                  <c:v>-5</c:v>
                </c:pt>
                <c:pt idx="123">
                  <c:v>-5</c:v>
                </c:pt>
                <c:pt idx="124">
                  <c:v>-5</c:v>
                </c:pt>
                <c:pt idx="125">
                  <c:v>-5</c:v>
                </c:pt>
                <c:pt idx="126">
                  <c:v>-5</c:v>
                </c:pt>
                <c:pt idx="127">
                  <c:v>-5</c:v>
                </c:pt>
                <c:pt idx="128">
                  <c:v>-5</c:v>
                </c:pt>
                <c:pt idx="129">
                  <c:v>-5</c:v>
                </c:pt>
                <c:pt idx="130">
                  <c:v>-5</c:v>
                </c:pt>
                <c:pt idx="131">
                  <c:v>-5</c:v>
                </c:pt>
                <c:pt idx="132">
                  <c:v>-5</c:v>
                </c:pt>
                <c:pt idx="133">
                  <c:v>-5</c:v>
                </c:pt>
                <c:pt idx="134">
                  <c:v>-5</c:v>
                </c:pt>
                <c:pt idx="135">
                  <c:v>-5</c:v>
                </c:pt>
                <c:pt idx="136">
                  <c:v>-5</c:v>
                </c:pt>
                <c:pt idx="137">
                  <c:v>-5</c:v>
                </c:pt>
                <c:pt idx="138">
                  <c:v>-5</c:v>
                </c:pt>
                <c:pt idx="139">
                  <c:v>-5</c:v>
                </c:pt>
                <c:pt idx="140">
                  <c:v>-5</c:v>
                </c:pt>
                <c:pt idx="141">
                  <c:v>-5</c:v>
                </c:pt>
                <c:pt idx="142">
                  <c:v>-5</c:v>
                </c:pt>
                <c:pt idx="143">
                  <c:v>-5</c:v>
                </c:pt>
                <c:pt idx="144">
                  <c:v>-5</c:v>
                </c:pt>
                <c:pt idx="145">
                  <c:v>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D3-4AC5-A36E-218C2B86EF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Kontrol Tarihi</a:t>
                </a:r>
              </a:p>
            </c:rich>
          </c:tx>
          <c:overlay val="1"/>
        </c:title>
        <c:numFmt formatCode="mm\-dd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Standartlaştırılmış Kümülatif Toplam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tr-TR"/>
              <a:t>Elektronik-Fonksiyon Hatası — EWMA Kontrol Grafiği (</a:t>
            </a:r>
            <a:r>
              <a:rPr lang="el-GR"/>
              <a:t>λ)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'CUSUM-EWMA Analizi'!$Y$10</c:f>
              <c:strCache>
                <c:ptCount val="1"/>
                <c:pt idx="0">
                  <c:v>EWMA (z)</c:v>
                </c:pt>
              </c:strCache>
            </c:strRef>
          </c:tx>
          <c:spPr>
            <a:ln w="18000">
              <a:solidFill>
                <a:srgbClr val="548235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548235"/>
              </a:solidFill>
              <a:ln>
                <a:prstDash val="solid"/>
              </a:ln>
            </c:spPr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Analizi'!$Y$11:$Y$156</c:f>
              <c:numCache>
                <c:formatCode>General</c:formatCode>
                <c:ptCount val="146"/>
                <c:pt idx="0">
                  <c:v>-2.1585154518781072E-2</c:v>
                </c:pt>
                <c:pt idx="1">
                  <c:v>-0.10626599564123758</c:v>
                </c:pt>
                <c:pt idx="2">
                  <c:v>-0.10027580564617962</c:v>
                </c:pt>
                <c:pt idx="3">
                  <c:v>-0.21758772671564963</c:v>
                </c:pt>
                <c:pt idx="4">
                  <c:v>-0.21145676568827348</c:v>
                </c:pt>
                <c:pt idx="5">
                  <c:v>-0.19075056706939986</c:v>
                </c:pt>
                <c:pt idx="6">
                  <c:v>-0.20547306824566408</c:v>
                </c:pt>
                <c:pt idx="7">
                  <c:v>0.30572715720569538</c:v>
                </c:pt>
                <c:pt idx="8">
                  <c:v>0.80696161182899717</c:v>
                </c:pt>
                <c:pt idx="9">
                  <c:v>0.62398413494441674</c:v>
                </c:pt>
                <c:pt idx="10">
                  <c:v>0.28065427429937279</c:v>
                </c:pt>
                <c:pt idx="11">
                  <c:v>0.18713683512374449</c:v>
                </c:pt>
                <c:pt idx="12">
                  <c:v>0.12812431358021453</c:v>
                </c:pt>
                <c:pt idx="13">
                  <c:v>8.7236441730982078E-2</c:v>
                </c:pt>
                <c:pt idx="14">
                  <c:v>2.9407026959858605E-2</c:v>
                </c:pt>
                <c:pt idx="15">
                  <c:v>-1.386096274786687E-2</c:v>
                </c:pt>
                <c:pt idx="16">
                  <c:v>-5.1470896623220561E-2</c:v>
                </c:pt>
                <c:pt idx="17">
                  <c:v>-0.11749176296452418</c:v>
                </c:pt>
                <c:pt idx="18">
                  <c:v>-0.12451942863799843</c:v>
                </c:pt>
                <c:pt idx="19">
                  <c:v>-0.12120069742917983</c:v>
                </c:pt>
                <c:pt idx="20">
                  <c:v>-0.23850388173781029</c:v>
                </c:pt>
                <c:pt idx="21">
                  <c:v>-0.25185514192300645</c:v>
                </c:pt>
                <c:pt idx="22">
                  <c:v>-0.24186623996333223</c:v>
                </c:pt>
                <c:pt idx="23">
                  <c:v>-0.24411466643722313</c:v>
                </c:pt>
                <c:pt idx="24">
                  <c:v>-0.23267831746553228</c:v>
                </c:pt>
                <c:pt idx="25">
                  <c:v>-0.22931296300998796</c:v>
                </c:pt>
                <c:pt idx="26">
                  <c:v>-0.23632298499813459</c:v>
                </c:pt>
                <c:pt idx="27">
                  <c:v>-0.22318751396151965</c:v>
                </c:pt>
                <c:pt idx="28">
                  <c:v>-0.20498631846428783</c:v>
                </c:pt>
                <c:pt idx="29">
                  <c:v>-0.18557420929021134</c:v>
                </c:pt>
                <c:pt idx="30">
                  <c:v>-0.2292236202820232</c:v>
                </c:pt>
                <c:pt idx="31">
                  <c:v>0.2142837348134656</c:v>
                </c:pt>
                <c:pt idx="32">
                  <c:v>0.70842313035393789</c:v>
                </c:pt>
                <c:pt idx="33">
                  <c:v>0.53260937832013833</c:v>
                </c:pt>
                <c:pt idx="34">
                  <c:v>0.4045023481373296</c:v>
                </c:pt>
                <c:pt idx="35">
                  <c:v>0.30201672399108265</c:v>
                </c:pt>
                <c:pt idx="36">
                  <c:v>0.22002822467408506</c:v>
                </c:pt>
                <c:pt idx="37">
                  <c:v>0.67844239678500451</c:v>
                </c:pt>
                <c:pt idx="38">
                  <c:v>0.46955509708644327</c:v>
                </c:pt>
                <c:pt idx="39">
                  <c:v>0.36038106853596508</c:v>
                </c:pt>
                <c:pt idx="40">
                  <c:v>0.27304184569558249</c:v>
                </c:pt>
                <c:pt idx="41">
                  <c:v>0.13075416441617654</c:v>
                </c:pt>
                <c:pt idx="42">
                  <c:v>4.1672332712033702E-2</c:v>
                </c:pt>
                <c:pt idx="43">
                  <c:v>-5.0261077806925895E-2</c:v>
                </c:pt>
                <c:pt idx="44">
                  <c:v>-5.5471871378730261E-2</c:v>
                </c:pt>
                <c:pt idx="45">
                  <c:v>0.43952294738443204</c:v>
                </c:pt>
                <c:pt idx="46">
                  <c:v>0.23842485266545804</c:v>
                </c:pt>
                <c:pt idx="47">
                  <c:v>0.17547687299917691</c:v>
                </c:pt>
                <c:pt idx="48">
                  <c:v>6.7182678057781164E-2</c:v>
                </c:pt>
                <c:pt idx="49">
                  <c:v>3.216098792744386E-2</c:v>
                </c:pt>
                <c:pt idx="50">
                  <c:v>1.0465781208765545E-2</c:v>
                </c:pt>
                <c:pt idx="51">
                  <c:v>-1.3212529551768637E-2</c:v>
                </c:pt>
                <c:pt idx="52">
                  <c:v>-5.3740332678977057E-2</c:v>
                </c:pt>
                <c:pt idx="53">
                  <c:v>-6.4577420661962717E-2</c:v>
                </c:pt>
                <c:pt idx="54">
                  <c:v>-0.10877088739716698</c:v>
                </c:pt>
                <c:pt idx="55">
                  <c:v>-0.13018701895529572</c:v>
                </c:pt>
                <c:pt idx="56">
                  <c:v>-0.18046466083018431</c:v>
                </c:pt>
                <c:pt idx="57">
                  <c:v>-0.159634737797337</c:v>
                </c:pt>
                <c:pt idx="58">
                  <c:v>-0.22779403432462</c:v>
                </c:pt>
                <c:pt idx="59">
                  <c:v>-0.23934417832729279</c:v>
                </c:pt>
                <c:pt idx="60">
                  <c:v>-0.22560446862484621</c:v>
                </c:pt>
                <c:pt idx="61">
                  <c:v>-0.29159995863058907</c:v>
                </c:pt>
                <c:pt idx="62">
                  <c:v>-0.27645027594203342</c:v>
                </c:pt>
                <c:pt idx="63">
                  <c:v>-0.28769013513953828</c:v>
                </c:pt>
                <c:pt idx="64">
                  <c:v>-0.25173726263041174</c:v>
                </c:pt>
                <c:pt idx="65">
                  <c:v>-0.31038949743319838</c:v>
                </c:pt>
                <c:pt idx="66">
                  <c:v>-0.31990145652719992</c:v>
                </c:pt>
                <c:pt idx="67">
                  <c:v>-0.38543209233444636</c:v>
                </c:pt>
                <c:pt idx="68">
                  <c:v>-0.35413470126712576</c:v>
                </c:pt>
                <c:pt idx="69">
                  <c:v>-0.32647807005126278</c:v>
                </c:pt>
                <c:pt idx="70">
                  <c:v>-0.27644546517419982</c:v>
                </c:pt>
                <c:pt idx="71">
                  <c:v>-0.25528549810237183</c:v>
                </c:pt>
                <c:pt idx="72">
                  <c:v>-0.24161498279765123</c:v>
                </c:pt>
                <c:pt idx="73">
                  <c:v>-0.21487714075690206</c:v>
                </c:pt>
                <c:pt idx="74">
                  <c:v>-0.18716472173871121</c:v>
                </c:pt>
                <c:pt idx="75">
                  <c:v>-0.27743127365461095</c:v>
                </c:pt>
                <c:pt idx="76">
                  <c:v>-0.24838132621876088</c:v>
                </c:pt>
                <c:pt idx="77">
                  <c:v>0.17586048908615398</c:v>
                </c:pt>
                <c:pt idx="78">
                  <c:v>9.7518082231361047E-2</c:v>
                </c:pt>
                <c:pt idx="79">
                  <c:v>1.3259002228745639E-2</c:v>
                </c:pt>
                <c:pt idx="80">
                  <c:v>-2.6779382532757245E-2</c:v>
                </c:pt>
                <c:pt idx="81">
                  <c:v>-0.11172068578833326</c:v>
                </c:pt>
                <c:pt idx="82">
                  <c:v>-0.14440811067825671</c:v>
                </c:pt>
                <c:pt idx="83">
                  <c:v>-0.24045960265807295</c:v>
                </c:pt>
                <c:pt idx="84">
                  <c:v>-0.3774218331919631</c:v>
                </c:pt>
                <c:pt idx="85">
                  <c:v>-0.33246348481994958</c:v>
                </c:pt>
                <c:pt idx="86">
                  <c:v>0.13169184318312449</c:v>
                </c:pt>
                <c:pt idx="87">
                  <c:v>7.122434858348764E-2</c:v>
                </c:pt>
                <c:pt idx="88">
                  <c:v>-9.5504355191214502E-3</c:v>
                </c:pt>
                <c:pt idx="89">
                  <c:v>-5.3429375814865801E-2</c:v>
                </c:pt>
                <c:pt idx="90">
                  <c:v>-8.3125627076819697E-2</c:v>
                </c:pt>
                <c:pt idx="91">
                  <c:v>0.17574122201487719</c:v>
                </c:pt>
                <c:pt idx="92">
                  <c:v>0.11415667031682966</c:v>
                </c:pt>
                <c:pt idx="93">
                  <c:v>-3.4536661388351347E-2</c:v>
                </c:pt>
                <c:pt idx="94">
                  <c:v>-8.0501943700825279E-2</c:v>
                </c:pt>
                <c:pt idx="95">
                  <c:v>-0.16903947374057426</c:v>
                </c:pt>
                <c:pt idx="96">
                  <c:v>5.2128581398587837E-2</c:v>
                </c:pt>
                <c:pt idx="97">
                  <c:v>-1.1169749471273922E-2</c:v>
                </c:pt>
                <c:pt idx="98">
                  <c:v>-6.9987836109777324E-2</c:v>
                </c:pt>
                <c:pt idx="99">
                  <c:v>-0.13529919077303817</c:v>
                </c:pt>
                <c:pt idx="100">
                  <c:v>-0.33667515608881771</c:v>
                </c:pt>
                <c:pt idx="101">
                  <c:v>-0.3441132935025617</c:v>
                </c:pt>
                <c:pt idx="102">
                  <c:v>-0.3259123092686067</c:v>
                </c:pt>
                <c:pt idx="103">
                  <c:v>-0.37895660778659496</c:v>
                </c:pt>
                <c:pt idx="104">
                  <c:v>-0.40089622994616086</c:v>
                </c:pt>
                <c:pt idx="105">
                  <c:v>-0.35124300222330779</c:v>
                </c:pt>
                <c:pt idx="106">
                  <c:v>-0.30743070907371839</c:v>
                </c:pt>
                <c:pt idx="107">
                  <c:v>-0.28911487629653687</c:v>
                </c:pt>
                <c:pt idx="108">
                  <c:v>-0.327823646654892</c:v>
                </c:pt>
                <c:pt idx="109">
                  <c:v>-0.30804794472348224</c:v>
                </c:pt>
                <c:pt idx="110">
                  <c:v>-0.27287466307385788</c:v>
                </c:pt>
                <c:pt idx="111">
                  <c:v>-0.31721533492871867</c:v>
                </c:pt>
                <c:pt idx="112">
                  <c:v>-0.45394475611647578</c:v>
                </c:pt>
                <c:pt idx="113">
                  <c:v>-0.39368182315955974</c:v>
                </c:pt>
                <c:pt idx="114">
                  <c:v>-0.38971862715915534</c:v>
                </c:pt>
                <c:pt idx="115">
                  <c:v>-0.38336476030796551</c:v>
                </c:pt>
                <c:pt idx="116">
                  <c:v>-0.3282769627651535</c:v>
                </c:pt>
                <c:pt idx="117">
                  <c:v>-0.27788457934531235</c:v>
                </c:pt>
                <c:pt idx="118">
                  <c:v>-0.30590660745280274</c:v>
                </c:pt>
                <c:pt idx="119">
                  <c:v>-0.28510741238716925</c:v>
                </c:pt>
                <c:pt idx="120">
                  <c:v>-0.29634418183575933</c:v>
                </c:pt>
                <c:pt idx="121">
                  <c:v>-0.3053335973946314</c:v>
                </c:pt>
                <c:pt idx="122">
                  <c:v>-0.33584493271484239</c:v>
                </c:pt>
                <c:pt idx="123">
                  <c:v>-0.29920196443825298</c:v>
                </c:pt>
                <c:pt idx="124">
                  <c:v>-0.28253188058816453</c:v>
                </c:pt>
                <c:pt idx="125">
                  <c:v>-0.42385671340979636</c:v>
                </c:pt>
                <c:pt idx="126">
                  <c:v>-0.4694925779266243</c:v>
                </c:pt>
                <c:pt idx="127">
                  <c:v>-0.46459193436751217</c:v>
                </c:pt>
                <c:pt idx="128">
                  <c:v>-0.38693655662719934</c:v>
                </c:pt>
                <c:pt idx="129">
                  <c:v>-0.38113910388240069</c:v>
                </c:pt>
                <c:pt idx="130">
                  <c:v>-0.39520846286804806</c:v>
                </c:pt>
                <c:pt idx="131">
                  <c:v>-0.51807740241907374</c:v>
                </c:pt>
                <c:pt idx="132">
                  <c:v>-0.46025094933482763</c:v>
                </c:pt>
                <c:pt idx="133">
                  <c:v>-0.451799703444415</c:v>
                </c:pt>
                <c:pt idx="134">
                  <c:v>-0.38302491727431309</c:v>
                </c:pt>
                <c:pt idx="135">
                  <c:v>-0.43041720618779178</c:v>
                </c:pt>
                <c:pt idx="136">
                  <c:v>-0.44897168373014751</c:v>
                </c:pt>
                <c:pt idx="137">
                  <c:v>-0.4291212416697614</c:v>
                </c:pt>
                <c:pt idx="138">
                  <c:v>-0.41961203900175686</c:v>
                </c:pt>
                <c:pt idx="139">
                  <c:v>-0.55634439455394213</c:v>
                </c:pt>
                <c:pt idx="140">
                  <c:v>-0.51827433598471406</c:v>
                </c:pt>
                <c:pt idx="141">
                  <c:v>-0.51353507325740366</c:v>
                </c:pt>
                <c:pt idx="142">
                  <c:v>-0.4737590574268305</c:v>
                </c:pt>
                <c:pt idx="143">
                  <c:v>-0.48252601041821064</c:v>
                </c:pt>
                <c:pt idx="144">
                  <c:v>-0.57908429956989349</c:v>
                </c:pt>
                <c:pt idx="145">
                  <c:v>-0.57850063159552123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5E-47E3-940F-177E8013C3FA}"/>
            </c:ext>
          </c:extLst>
        </c:ser>
        <c:ser>
          <c:idx val="1"/>
          <c:order val="1"/>
          <c:tx>
            <c:strRef>
              <c:f>'CUSUM-EWMA Analizi'!$Z$10</c:f>
              <c:strCache>
                <c:ptCount val="1"/>
                <c:pt idx="0">
                  <c:v>+Limit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Analizi'!$Z$11:$Z$156</c:f>
              <c:numCache>
                <c:formatCode>General</c:formatCode>
                <c:ptCount val="146"/>
                <c:pt idx="0">
                  <c:v>0.59999999999999987</c:v>
                </c:pt>
                <c:pt idx="1">
                  <c:v>0.76837490849194168</c:v>
                </c:pt>
                <c:pt idx="2">
                  <c:v>0.85898544807231747</c:v>
                </c:pt>
                <c:pt idx="3">
                  <c:v>0.91226522459205905</c:v>
                </c:pt>
                <c:pt idx="4">
                  <c:v>0.94478876877321105</c:v>
                </c:pt>
                <c:pt idx="5">
                  <c:v>0.96502876810175975</c:v>
                </c:pt>
                <c:pt idx="6">
                  <c:v>0.97776251456524965</c:v>
                </c:pt>
                <c:pt idx="7">
                  <c:v>0.98582579715126872</c:v>
                </c:pt>
                <c:pt idx="8">
                  <c:v>0.99095186638429522</c:v>
                </c:pt>
                <c:pt idx="9">
                  <c:v>0.99421868065025398</c:v>
                </c:pt>
                <c:pt idx="10">
                  <c:v>0.99630382031311915</c:v>
                </c:pt>
                <c:pt idx="11">
                  <c:v>0.99763602256390604</c:v>
                </c:pt>
                <c:pt idx="12">
                  <c:v>0.99848769919862479</c:v>
                </c:pt>
                <c:pt idx="13">
                  <c:v>0.99903239121092402</c:v>
                </c:pt>
                <c:pt idx="14">
                  <c:v>0.99938083829975177</c:v>
                </c:pt>
                <c:pt idx="15">
                  <c:v>0.99960378069255906</c:v>
                </c:pt>
                <c:pt idx="16">
                  <c:v>0.99974643773304273</c:v>
                </c:pt>
                <c:pt idx="17">
                  <c:v>0.99983772755699796</c:v>
                </c:pt>
                <c:pt idx="18">
                  <c:v>0.99989614867027998</c:v>
                </c:pt>
                <c:pt idx="19">
                  <c:v>0.99993353639150517</c:v>
                </c:pt>
                <c:pt idx="20">
                  <c:v>0.99995746379947081</c:v>
                </c:pt>
                <c:pt idx="21">
                  <c:v>0.99997277704010168</c:v>
                </c:pt>
                <c:pt idx="22">
                  <c:v>0.99998257739104002</c:v>
                </c:pt>
                <c:pt idx="23">
                  <c:v>0.99998884956523471</c:v>
                </c:pt>
                <c:pt idx="24">
                  <c:v>0.99999286373607332</c:v>
                </c:pt>
                <c:pt idx="25">
                  <c:v>0.99999543279695369</c:v>
                </c:pt>
                <c:pt idx="26">
                  <c:v>0.99999707699245344</c:v>
                </c:pt>
                <c:pt idx="27">
                  <c:v>0.99999812927615439</c:v>
                </c:pt>
                <c:pt idx="28">
                  <c:v>0.99999880273714203</c:v>
                </c:pt>
                <c:pt idx="29">
                  <c:v>0.99999923375193589</c:v>
                </c:pt>
                <c:pt idx="30">
                  <c:v>0.99999950960130679</c:v>
                </c:pt>
                <c:pt idx="31">
                  <c:v>0.99999968614486412</c:v>
                </c:pt>
                <c:pt idx="32">
                  <c:v>0.9999997991327243</c:v>
                </c:pt>
                <c:pt idx="33">
                  <c:v>0.99999987144494817</c:v>
                </c:pt>
                <c:pt idx="34">
                  <c:v>0.99999991772476882</c:v>
                </c:pt>
                <c:pt idx="35">
                  <c:v>0.99999994734385278</c:v>
                </c:pt>
                <c:pt idx="36">
                  <c:v>0.99999996630006605</c:v>
                </c:pt>
                <c:pt idx="37">
                  <c:v>0.99999997843204258</c:v>
                </c:pt>
                <c:pt idx="38">
                  <c:v>0.99999998619650721</c:v>
                </c:pt>
                <c:pt idx="39">
                  <c:v>0.99999999116576466</c:v>
                </c:pt>
                <c:pt idx="40">
                  <c:v>0.99999999434608944</c:v>
                </c:pt>
                <c:pt idx="41">
                  <c:v>0.99999999638149728</c:v>
                </c:pt>
                <c:pt idx="42">
                  <c:v>0.99999999768415826</c:v>
                </c:pt>
                <c:pt idx="43">
                  <c:v>0.99999999851786137</c:v>
                </c:pt>
                <c:pt idx="44">
                  <c:v>0.99999999905143122</c:v>
                </c:pt>
                <c:pt idx="45">
                  <c:v>0.99999999939291584</c:v>
                </c:pt>
                <c:pt idx="46">
                  <c:v>0.99999999961146624</c:v>
                </c:pt>
                <c:pt idx="47">
                  <c:v>0.99999999975133846</c:v>
                </c:pt>
                <c:pt idx="48">
                  <c:v>0.99999999984085663</c:v>
                </c:pt>
                <c:pt idx="49">
                  <c:v>0.99999999989814825</c:v>
                </c:pt>
                <c:pt idx="50">
                  <c:v>0.99999999993481492</c:v>
                </c:pt>
                <c:pt idx="51">
                  <c:v>0.99999999995828148</c:v>
                </c:pt>
                <c:pt idx="52">
                  <c:v>0.99999999997330014</c:v>
                </c:pt>
                <c:pt idx="53">
                  <c:v>0.99999999998291211</c:v>
                </c:pt>
                <c:pt idx="54">
                  <c:v>0.99999999998906386</c:v>
                </c:pt>
                <c:pt idx="55">
                  <c:v>0.99999999999300093</c:v>
                </c:pt>
                <c:pt idx="56">
                  <c:v>0.99999999999552047</c:v>
                </c:pt>
                <c:pt idx="57">
                  <c:v>0.99999999999713307</c:v>
                </c:pt>
                <c:pt idx="58">
                  <c:v>0.99999999999816525</c:v>
                </c:pt>
                <c:pt idx="59">
                  <c:v>0.99999999999882572</c:v>
                </c:pt>
                <c:pt idx="60">
                  <c:v>0.9999999999992486</c:v>
                </c:pt>
                <c:pt idx="61">
                  <c:v>0.99999999999951905</c:v>
                </c:pt>
                <c:pt idx="62">
                  <c:v>0.99999999999969225</c:v>
                </c:pt>
                <c:pt idx="63">
                  <c:v>0.99999999999980294</c:v>
                </c:pt>
                <c:pt idx="64">
                  <c:v>0.99999999999987388</c:v>
                </c:pt>
                <c:pt idx="65">
                  <c:v>0.9999999999999194</c:v>
                </c:pt>
                <c:pt idx="66">
                  <c:v>0.99999999999994826</c:v>
                </c:pt>
                <c:pt idx="67">
                  <c:v>0.99999999999996692</c:v>
                </c:pt>
                <c:pt idx="68">
                  <c:v>0.99999999999997879</c:v>
                </c:pt>
                <c:pt idx="69">
                  <c:v>0.99999999999998646</c:v>
                </c:pt>
                <c:pt idx="70">
                  <c:v>0.99999999999999134</c:v>
                </c:pt>
                <c:pt idx="71">
                  <c:v>0.99999999999999445</c:v>
                </c:pt>
                <c:pt idx="72">
                  <c:v>0.99999999999999645</c:v>
                </c:pt>
                <c:pt idx="73">
                  <c:v>0.99999999999999778</c:v>
                </c:pt>
                <c:pt idx="74">
                  <c:v>0.99999999999999867</c:v>
                </c:pt>
                <c:pt idx="75">
                  <c:v>0.99999999999999911</c:v>
                </c:pt>
                <c:pt idx="76">
                  <c:v>0.99999999999999944</c:v>
                </c:pt>
                <c:pt idx="77">
                  <c:v>0.99999999999999956</c:v>
                </c:pt>
                <c:pt idx="78">
                  <c:v>0.99999999999999978</c:v>
                </c:pt>
                <c:pt idx="79">
                  <c:v>0.99999999999999978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5E-47E3-940F-177E8013C3FA}"/>
            </c:ext>
          </c:extLst>
        </c:ser>
        <c:ser>
          <c:idx val="2"/>
          <c:order val="2"/>
          <c:tx>
            <c:strRef>
              <c:f>'CUSUM-EWMA Analizi'!$AA$10</c:f>
              <c:strCache>
                <c:ptCount val="1"/>
                <c:pt idx="0">
                  <c:v>-Limit</c:v>
                </c:pt>
              </c:strCache>
            </c:strRef>
          </c:tx>
          <c:spPr>
            <a:ln w="18000">
              <a:solidFill>
                <a:srgbClr val="000000"/>
              </a:solidFill>
              <a:prstDash val="dash"/>
            </a:ln>
          </c:spPr>
          <c:marker>
            <c:symbol val="none"/>
          </c:marker>
          <c:cat>
            <c:numRef>
              <c:f>'CUSUM-EWMA Analizi'!$O$11:$O$156</c:f>
              <c:numCache>
                <c:formatCode>m/d/yyyy</c:formatCode>
                <c:ptCount val="146"/>
                <c:pt idx="0">
                  <c:v>46029</c:v>
                </c:pt>
                <c:pt idx="1">
                  <c:v>46030</c:v>
                </c:pt>
                <c:pt idx="2">
                  <c:v>46031</c:v>
                </c:pt>
                <c:pt idx="3">
                  <c:v>46035</c:v>
                </c:pt>
                <c:pt idx="4">
                  <c:v>46037</c:v>
                </c:pt>
                <c:pt idx="5">
                  <c:v>46038</c:v>
                </c:pt>
                <c:pt idx="6">
                  <c:v>46041</c:v>
                </c:pt>
                <c:pt idx="7">
                  <c:v>46043</c:v>
                </c:pt>
                <c:pt idx="8">
                  <c:v>46045</c:v>
                </c:pt>
                <c:pt idx="9">
                  <c:v>46048</c:v>
                </c:pt>
                <c:pt idx="10">
                  <c:v>46050</c:v>
                </c:pt>
                <c:pt idx="11">
                  <c:v>46052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46062</c:v>
                </c:pt>
                <c:pt idx="18">
                  <c:v>46063</c:v>
                </c:pt>
                <c:pt idx="19">
                  <c:v>46064</c:v>
                </c:pt>
                <c:pt idx="20">
                  <c:v>46065</c:v>
                </c:pt>
                <c:pt idx="21">
                  <c:v>46066</c:v>
                </c:pt>
                <c:pt idx="22">
                  <c:v>46069</c:v>
                </c:pt>
                <c:pt idx="23">
                  <c:v>46070</c:v>
                </c:pt>
                <c:pt idx="24">
                  <c:v>46071</c:v>
                </c:pt>
                <c:pt idx="25">
                  <c:v>46072</c:v>
                </c:pt>
                <c:pt idx="26">
                  <c:v>46076</c:v>
                </c:pt>
                <c:pt idx="27">
                  <c:v>46077</c:v>
                </c:pt>
                <c:pt idx="28">
                  <c:v>46078</c:v>
                </c:pt>
                <c:pt idx="29">
                  <c:v>46079</c:v>
                </c:pt>
                <c:pt idx="30">
                  <c:v>46081</c:v>
                </c:pt>
                <c:pt idx="31">
                  <c:v>46083</c:v>
                </c:pt>
                <c:pt idx="32">
                  <c:v>46084</c:v>
                </c:pt>
                <c:pt idx="33">
                  <c:v>46086</c:v>
                </c:pt>
                <c:pt idx="34">
                  <c:v>46087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46096</c:v>
                </c:pt>
                <c:pt idx="41">
                  <c:v>46097</c:v>
                </c:pt>
                <c:pt idx="42">
                  <c:v>46098</c:v>
                </c:pt>
                <c:pt idx="43">
                  <c:v>46099</c:v>
                </c:pt>
                <c:pt idx="44">
                  <c:v>46101</c:v>
                </c:pt>
                <c:pt idx="45">
                  <c:v>46105</c:v>
                </c:pt>
                <c:pt idx="46">
                  <c:v>46106</c:v>
                </c:pt>
                <c:pt idx="47">
                  <c:v>46107</c:v>
                </c:pt>
                <c:pt idx="48">
                  <c:v>46108</c:v>
                </c:pt>
                <c:pt idx="49">
                  <c:v>46111</c:v>
                </c:pt>
                <c:pt idx="50">
                  <c:v>46112</c:v>
                </c:pt>
                <c:pt idx="51">
                  <c:v>46113</c:v>
                </c:pt>
                <c:pt idx="52">
                  <c:v>46115</c:v>
                </c:pt>
                <c:pt idx="53">
                  <c:v>46118</c:v>
                </c:pt>
                <c:pt idx="54">
                  <c:v>46119</c:v>
                </c:pt>
                <c:pt idx="55">
                  <c:v>46120</c:v>
                </c:pt>
                <c:pt idx="56">
                  <c:v>46121</c:v>
                </c:pt>
                <c:pt idx="57">
                  <c:v>46122</c:v>
                </c:pt>
                <c:pt idx="58">
                  <c:v>46125</c:v>
                </c:pt>
                <c:pt idx="59">
                  <c:v>46126</c:v>
                </c:pt>
                <c:pt idx="60">
                  <c:v>46127</c:v>
                </c:pt>
                <c:pt idx="61">
                  <c:v>46128</c:v>
                </c:pt>
                <c:pt idx="62">
                  <c:v>46132</c:v>
                </c:pt>
                <c:pt idx="63">
                  <c:v>46133</c:v>
                </c:pt>
                <c:pt idx="64">
                  <c:v>46134</c:v>
                </c:pt>
                <c:pt idx="65">
                  <c:v>46136</c:v>
                </c:pt>
                <c:pt idx="66">
                  <c:v>46139</c:v>
                </c:pt>
                <c:pt idx="67">
                  <c:v>46140</c:v>
                </c:pt>
                <c:pt idx="68">
                  <c:v>46141</c:v>
                </c:pt>
                <c:pt idx="69">
                  <c:v>46142</c:v>
                </c:pt>
                <c:pt idx="70">
                  <c:v>46147</c:v>
                </c:pt>
                <c:pt idx="71">
                  <c:v>46148</c:v>
                </c:pt>
                <c:pt idx="72">
                  <c:v>46149</c:v>
                </c:pt>
                <c:pt idx="73">
                  <c:v>46150</c:v>
                </c:pt>
                <c:pt idx="74">
                  <c:v>46153</c:v>
                </c:pt>
                <c:pt idx="75">
                  <c:v>46156</c:v>
                </c:pt>
                <c:pt idx="76">
                  <c:v>46160</c:v>
                </c:pt>
                <c:pt idx="77">
                  <c:v>46163</c:v>
                </c:pt>
                <c:pt idx="78">
                  <c:v>46176</c:v>
                </c:pt>
                <c:pt idx="79">
                  <c:v>46177</c:v>
                </c:pt>
                <c:pt idx="80">
                  <c:v>46178</c:v>
                </c:pt>
                <c:pt idx="81">
                  <c:v>46181</c:v>
                </c:pt>
                <c:pt idx="82">
                  <c:v>46182</c:v>
                </c:pt>
                <c:pt idx="83">
                  <c:v>46183</c:v>
                </c:pt>
                <c:pt idx="84">
                  <c:v>46184</c:v>
                </c:pt>
                <c:pt idx="85">
                  <c:v>46185</c:v>
                </c:pt>
                <c:pt idx="86">
                  <c:v>46186</c:v>
                </c:pt>
                <c:pt idx="87">
                  <c:v>46188</c:v>
                </c:pt>
                <c:pt idx="88">
                  <c:v>46189</c:v>
                </c:pt>
                <c:pt idx="89">
                  <c:v>46190</c:v>
                </c:pt>
                <c:pt idx="90">
                  <c:v>46191</c:v>
                </c:pt>
                <c:pt idx="91">
                  <c:v>46192</c:v>
                </c:pt>
                <c:pt idx="92">
                  <c:v>46195</c:v>
                </c:pt>
                <c:pt idx="93">
                  <c:v>46196</c:v>
                </c:pt>
                <c:pt idx="94">
                  <c:v>46197</c:v>
                </c:pt>
                <c:pt idx="95">
                  <c:v>46198</c:v>
                </c:pt>
                <c:pt idx="96">
                  <c:v>46199</c:v>
                </c:pt>
                <c:pt idx="97">
                  <c:v>46203</c:v>
                </c:pt>
                <c:pt idx="98">
                  <c:v>46205</c:v>
                </c:pt>
                <c:pt idx="99">
                  <c:v>46206</c:v>
                </c:pt>
                <c:pt idx="100">
                  <c:v>46207</c:v>
                </c:pt>
                <c:pt idx="101">
                  <c:v>46209</c:v>
                </c:pt>
                <c:pt idx="102">
                  <c:v>46210</c:v>
                </c:pt>
                <c:pt idx="103">
                  <c:v>46211</c:v>
                </c:pt>
                <c:pt idx="104">
                  <c:v>46212</c:v>
                </c:pt>
                <c:pt idx="105">
                  <c:v>46213</c:v>
                </c:pt>
                <c:pt idx="106">
                  <c:v>46216</c:v>
                </c:pt>
                <c:pt idx="107">
                  <c:v>46217</c:v>
                </c:pt>
                <c:pt idx="108">
                  <c:v>46219</c:v>
                </c:pt>
                <c:pt idx="109">
                  <c:v>46220</c:v>
                </c:pt>
                <c:pt idx="110">
                  <c:v>46221</c:v>
                </c:pt>
                <c:pt idx="111">
                  <c:v>46223</c:v>
                </c:pt>
                <c:pt idx="112">
                  <c:v>46224</c:v>
                </c:pt>
                <c:pt idx="113">
                  <c:v>46225</c:v>
                </c:pt>
                <c:pt idx="114">
                  <c:v>46226</c:v>
                </c:pt>
                <c:pt idx="115">
                  <c:v>46227</c:v>
                </c:pt>
                <c:pt idx="116">
                  <c:v>46228</c:v>
                </c:pt>
                <c:pt idx="117">
                  <c:v>46229</c:v>
                </c:pt>
                <c:pt idx="118">
                  <c:v>46230</c:v>
                </c:pt>
                <c:pt idx="119">
                  <c:v>46231</c:v>
                </c:pt>
                <c:pt idx="120">
                  <c:v>46232</c:v>
                </c:pt>
                <c:pt idx="121">
                  <c:v>46233</c:v>
                </c:pt>
                <c:pt idx="122">
                  <c:v>46234</c:v>
                </c:pt>
                <c:pt idx="123">
                  <c:v>46237</c:v>
                </c:pt>
                <c:pt idx="124">
                  <c:v>46238</c:v>
                </c:pt>
                <c:pt idx="125">
                  <c:v>46239</c:v>
                </c:pt>
                <c:pt idx="126">
                  <c:v>46240</c:v>
                </c:pt>
                <c:pt idx="127">
                  <c:v>46241</c:v>
                </c:pt>
                <c:pt idx="128">
                  <c:v>46242</c:v>
                </c:pt>
                <c:pt idx="129">
                  <c:v>46244</c:v>
                </c:pt>
                <c:pt idx="130">
                  <c:v>46245</c:v>
                </c:pt>
                <c:pt idx="131">
                  <c:v>46246</c:v>
                </c:pt>
                <c:pt idx="132">
                  <c:v>46247</c:v>
                </c:pt>
                <c:pt idx="133">
                  <c:v>46248</c:v>
                </c:pt>
                <c:pt idx="134">
                  <c:v>46250</c:v>
                </c:pt>
                <c:pt idx="135">
                  <c:v>46251</c:v>
                </c:pt>
                <c:pt idx="136">
                  <c:v>46252</c:v>
                </c:pt>
                <c:pt idx="137">
                  <c:v>46253</c:v>
                </c:pt>
                <c:pt idx="138">
                  <c:v>46254</c:v>
                </c:pt>
                <c:pt idx="139">
                  <c:v>46255</c:v>
                </c:pt>
                <c:pt idx="140">
                  <c:v>46256</c:v>
                </c:pt>
                <c:pt idx="141">
                  <c:v>46258</c:v>
                </c:pt>
                <c:pt idx="142">
                  <c:v>46259</c:v>
                </c:pt>
                <c:pt idx="143">
                  <c:v>46260</c:v>
                </c:pt>
                <c:pt idx="144">
                  <c:v>46261</c:v>
                </c:pt>
                <c:pt idx="145">
                  <c:v>46262</c:v>
                </c:pt>
              </c:numCache>
            </c:numRef>
          </c:cat>
          <c:val>
            <c:numRef>
              <c:f>'CUSUM-EWMA Analizi'!$AA$11:$AA$156</c:f>
              <c:numCache>
                <c:formatCode>General</c:formatCode>
                <c:ptCount val="146"/>
                <c:pt idx="0">
                  <c:v>-0.59999999999999987</c:v>
                </c:pt>
                <c:pt idx="1">
                  <c:v>-0.76837490849194168</c:v>
                </c:pt>
                <c:pt idx="2">
                  <c:v>-0.85898544807231747</c:v>
                </c:pt>
                <c:pt idx="3">
                  <c:v>-0.91226522459205905</c:v>
                </c:pt>
                <c:pt idx="4">
                  <c:v>-0.94478876877321105</c:v>
                </c:pt>
                <c:pt idx="5">
                  <c:v>-0.96502876810175975</c:v>
                </c:pt>
                <c:pt idx="6">
                  <c:v>-0.97776251456524965</c:v>
                </c:pt>
                <c:pt idx="7">
                  <c:v>-0.98582579715126872</c:v>
                </c:pt>
                <c:pt idx="8">
                  <c:v>-0.99095186638429522</c:v>
                </c:pt>
                <c:pt idx="9">
                  <c:v>-0.99421868065025398</c:v>
                </c:pt>
                <c:pt idx="10">
                  <c:v>-0.99630382031311915</c:v>
                </c:pt>
                <c:pt idx="11">
                  <c:v>-0.99763602256390604</c:v>
                </c:pt>
                <c:pt idx="12">
                  <c:v>-0.99848769919862479</c:v>
                </c:pt>
                <c:pt idx="13">
                  <c:v>-0.99903239121092402</c:v>
                </c:pt>
                <c:pt idx="14">
                  <c:v>-0.99938083829975177</c:v>
                </c:pt>
                <c:pt idx="15">
                  <c:v>-0.99960378069255906</c:v>
                </c:pt>
                <c:pt idx="16">
                  <c:v>-0.99974643773304273</c:v>
                </c:pt>
                <c:pt idx="17">
                  <c:v>-0.99983772755699796</c:v>
                </c:pt>
                <c:pt idx="18">
                  <c:v>-0.99989614867027998</c:v>
                </c:pt>
                <c:pt idx="19">
                  <c:v>-0.99993353639150517</c:v>
                </c:pt>
                <c:pt idx="20">
                  <c:v>-0.99995746379947081</c:v>
                </c:pt>
                <c:pt idx="21">
                  <c:v>-0.99997277704010168</c:v>
                </c:pt>
                <c:pt idx="22">
                  <c:v>-0.99998257739104002</c:v>
                </c:pt>
                <c:pt idx="23">
                  <c:v>-0.99998884956523471</c:v>
                </c:pt>
                <c:pt idx="24">
                  <c:v>-0.99999286373607332</c:v>
                </c:pt>
                <c:pt idx="25">
                  <c:v>-0.99999543279695369</c:v>
                </c:pt>
                <c:pt idx="26">
                  <c:v>-0.99999707699245344</c:v>
                </c:pt>
                <c:pt idx="27">
                  <c:v>-0.99999812927615439</c:v>
                </c:pt>
                <c:pt idx="28">
                  <c:v>-0.99999880273714203</c:v>
                </c:pt>
                <c:pt idx="29">
                  <c:v>-0.99999923375193589</c:v>
                </c:pt>
                <c:pt idx="30">
                  <c:v>-0.99999950960130679</c:v>
                </c:pt>
                <c:pt idx="31">
                  <c:v>-0.99999968614486412</c:v>
                </c:pt>
                <c:pt idx="32">
                  <c:v>-0.9999997991327243</c:v>
                </c:pt>
                <c:pt idx="33">
                  <c:v>-0.99999987144494817</c:v>
                </c:pt>
                <c:pt idx="34">
                  <c:v>-0.99999991772476882</c:v>
                </c:pt>
                <c:pt idx="35">
                  <c:v>-0.99999994734385278</c:v>
                </c:pt>
                <c:pt idx="36">
                  <c:v>-0.99999996630006605</c:v>
                </c:pt>
                <c:pt idx="37">
                  <c:v>-0.99999997843204258</c:v>
                </c:pt>
                <c:pt idx="38">
                  <c:v>-0.99999998619650721</c:v>
                </c:pt>
                <c:pt idx="39">
                  <c:v>-0.99999999116576466</c:v>
                </c:pt>
                <c:pt idx="40">
                  <c:v>-0.99999999434608944</c:v>
                </c:pt>
                <c:pt idx="41">
                  <c:v>-0.99999999638149728</c:v>
                </c:pt>
                <c:pt idx="42">
                  <c:v>-0.99999999768415826</c:v>
                </c:pt>
                <c:pt idx="43">
                  <c:v>-0.99999999851786137</c:v>
                </c:pt>
                <c:pt idx="44">
                  <c:v>-0.99999999905143122</c:v>
                </c:pt>
                <c:pt idx="45">
                  <c:v>-0.99999999939291584</c:v>
                </c:pt>
                <c:pt idx="46">
                  <c:v>-0.99999999961146624</c:v>
                </c:pt>
                <c:pt idx="47">
                  <c:v>-0.99999999975133846</c:v>
                </c:pt>
                <c:pt idx="48">
                  <c:v>-0.99999999984085663</c:v>
                </c:pt>
                <c:pt idx="49">
                  <c:v>-0.99999999989814825</c:v>
                </c:pt>
                <c:pt idx="50">
                  <c:v>-0.99999999993481492</c:v>
                </c:pt>
                <c:pt idx="51">
                  <c:v>-0.99999999995828148</c:v>
                </c:pt>
                <c:pt idx="52">
                  <c:v>-0.99999999997330014</c:v>
                </c:pt>
                <c:pt idx="53">
                  <c:v>-0.99999999998291211</c:v>
                </c:pt>
                <c:pt idx="54">
                  <c:v>-0.99999999998906386</c:v>
                </c:pt>
                <c:pt idx="55">
                  <c:v>-0.99999999999300093</c:v>
                </c:pt>
                <c:pt idx="56">
                  <c:v>-0.99999999999552047</c:v>
                </c:pt>
                <c:pt idx="57">
                  <c:v>-0.99999999999713307</c:v>
                </c:pt>
                <c:pt idx="58">
                  <c:v>-0.99999999999816525</c:v>
                </c:pt>
                <c:pt idx="59">
                  <c:v>-0.99999999999882572</c:v>
                </c:pt>
                <c:pt idx="60">
                  <c:v>-0.9999999999992486</c:v>
                </c:pt>
                <c:pt idx="61">
                  <c:v>-0.99999999999951905</c:v>
                </c:pt>
                <c:pt idx="62">
                  <c:v>-0.99999999999969225</c:v>
                </c:pt>
                <c:pt idx="63">
                  <c:v>-0.99999999999980294</c:v>
                </c:pt>
                <c:pt idx="64">
                  <c:v>-0.99999999999987388</c:v>
                </c:pt>
                <c:pt idx="65">
                  <c:v>-0.9999999999999194</c:v>
                </c:pt>
                <c:pt idx="66">
                  <c:v>-0.99999999999994826</c:v>
                </c:pt>
                <c:pt idx="67">
                  <c:v>-0.99999999999996692</c:v>
                </c:pt>
                <c:pt idx="68">
                  <c:v>-0.99999999999997879</c:v>
                </c:pt>
                <c:pt idx="69">
                  <c:v>-0.99999999999998646</c:v>
                </c:pt>
                <c:pt idx="70">
                  <c:v>-0.99999999999999134</c:v>
                </c:pt>
                <c:pt idx="71">
                  <c:v>-0.99999999999999445</c:v>
                </c:pt>
                <c:pt idx="72">
                  <c:v>-0.99999999999999645</c:v>
                </c:pt>
                <c:pt idx="73">
                  <c:v>-0.99999999999999778</c:v>
                </c:pt>
                <c:pt idx="74">
                  <c:v>-0.99999999999999867</c:v>
                </c:pt>
                <c:pt idx="75">
                  <c:v>-0.99999999999999911</c:v>
                </c:pt>
                <c:pt idx="76">
                  <c:v>-0.99999999999999944</c:v>
                </c:pt>
                <c:pt idx="77">
                  <c:v>-0.99999999999999956</c:v>
                </c:pt>
                <c:pt idx="78">
                  <c:v>-0.99999999999999978</c:v>
                </c:pt>
                <c:pt idx="79">
                  <c:v>-0.99999999999999978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  <c:pt idx="101">
                  <c:v>-1</c:v>
                </c:pt>
                <c:pt idx="102">
                  <c:v>-1</c:v>
                </c:pt>
                <c:pt idx="103">
                  <c:v>-1</c:v>
                </c:pt>
                <c:pt idx="104">
                  <c:v>-1</c:v>
                </c:pt>
                <c:pt idx="105">
                  <c:v>-1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-1</c:v>
                </c:pt>
                <c:pt idx="110">
                  <c:v>-1</c:v>
                </c:pt>
                <c:pt idx="111">
                  <c:v>-1</c:v>
                </c:pt>
                <c:pt idx="112">
                  <c:v>-1</c:v>
                </c:pt>
                <c:pt idx="113">
                  <c:v>-1</c:v>
                </c:pt>
                <c:pt idx="114">
                  <c:v>-1</c:v>
                </c:pt>
                <c:pt idx="115">
                  <c:v>-1</c:v>
                </c:pt>
                <c:pt idx="116">
                  <c:v>-1</c:v>
                </c:pt>
                <c:pt idx="117">
                  <c:v>-1</c:v>
                </c:pt>
                <c:pt idx="118">
                  <c:v>-1</c:v>
                </c:pt>
                <c:pt idx="119">
                  <c:v>-1</c:v>
                </c:pt>
                <c:pt idx="120">
                  <c:v>-1</c:v>
                </c:pt>
                <c:pt idx="121">
                  <c:v>-1</c:v>
                </c:pt>
                <c:pt idx="122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26">
                  <c:v>-1</c:v>
                </c:pt>
                <c:pt idx="127">
                  <c:v>-1</c:v>
                </c:pt>
                <c:pt idx="128">
                  <c:v>-1</c:v>
                </c:pt>
                <c:pt idx="129">
                  <c:v>-1</c:v>
                </c:pt>
                <c:pt idx="130">
                  <c:v>-1</c:v>
                </c:pt>
                <c:pt idx="131">
                  <c:v>-1</c:v>
                </c:pt>
                <c:pt idx="132">
                  <c:v>-1</c:v>
                </c:pt>
                <c:pt idx="133">
                  <c:v>-1</c:v>
                </c:pt>
                <c:pt idx="134">
                  <c:v>-1</c:v>
                </c:pt>
                <c:pt idx="135">
                  <c:v>-1</c:v>
                </c:pt>
                <c:pt idx="136">
                  <c:v>-1</c:v>
                </c:pt>
                <c:pt idx="137">
                  <c:v>-1</c:v>
                </c:pt>
                <c:pt idx="138">
                  <c:v>-1</c:v>
                </c:pt>
                <c:pt idx="139">
                  <c:v>-1</c:v>
                </c:pt>
                <c:pt idx="140">
                  <c:v>-1</c:v>
                </c:pt>
                <c:pt idx="141">
                  <c:v>-1</c:v>
                </c:pt>
                <c:pt idx="142">
                  <c:v>-1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5E-47E3-940F-177E8013C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Kontrol Tarihi</a:t>
                </a:r>
              </a:p>
            </c:rich>
          </c:tx>
          <c:overlay val="1"/>
        </c:title>
        <c:numFmt formatCode="mm\-dd\-yy" sourceLinked="0"/>
        <c:majorTickMark val="none"/>
        <c:minorTickMark val="none"/>
        <c:tickLblPos val="nextTo"/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r-TR"/>
                  <a:t>Standartlaştırılmış EWMA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415637</xdr:colOff>
      <xdr:row>0</xdr:row>
      <xdr:rowOff>50459</xdr:rowOff>
    </xdr:from>
    <xdr:to>
      <xdr:col>32</xdr:col>
      <xdr:colOff>161637</xdr:colOff>
      <xdr:row>29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759510</xdr:colOff>
      <xdr:row>2</xdr:row>
      <xdr:rowOff>136961</xdr:rowOff>
    </xdr:from>
    <xdr:to>
      <xdr:col>16</xdr:col>
      <xdr:colOff>435784</xdr:colOff>
      <xdr:row>20</xdr:row>
      <xdr:rowOff>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988786</xdr:colOff>
      <xdr:row>3</xdr:row>
      <xdr:rowOff>111125</xdr:rowOff>
    </xdr:from>
    <xdr:to>
      <xdr:col>16</xdr:col>
      <xdr:colOff>1325563</xdr:colOff>
      <xdr:row>14</xdr:row>
      <xdr:rowOff>108858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1128889</xdr:colOff>
      <xdr:row>0</xdr:row>
      <xdr:rowOff>313579</xdr:rowOff>
    </xdr:from>
    <xdr:to>
      <xdr:col>19</xdr:col>
      <xdr:colOff>1222963</xdr:colOff>
      <xdr:row>26</xdr:row>
      <xdr:rowOff>7839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317499</xdr:colOff>
      <xdr:row>7</xdr:row>
      <xdr:rowOff>48847</xdr:rowOff>
    </xdr:from>
    <xdr:to>
      <xdr:col>19</xdr:col>
      <xdr:colOff>634999</xdr:colOff>
      <xdr:row>26</xdr:row>
      <xdr:rowOff>29308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469447</xdr:colOff>
      <xdr:row>7</xdr:row>
      <xdr:rowOff>62819</xdr:rowOff>
    </xdr:from>
    <xdr:to>
      <xdr:col>15</xdr:col>
      <xdr:colOff>766032</xdr:colOff>
      <xdr:row>27</xdr:row>
      <xdr:rowOff>20158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449792</xdr:colOff>
      <xdr:row>5</xdr:row>
      <xdr:rowOff>63500</xdr:rowOff>
    </xdr:from>
    <xdr:to>
      <xdr:col>29</xdr:col>
      <xdr:colOff>391584</xdr:colOff>
      <xdr:row>29</xdr:row>
      <xdr:rowOff>74083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1865921</xdr:colOff>
      <xdr:row>2</xdr:row>
      <xdr:rowOff>32726</xdr:rowOff>
    </xdr:from>
    <xdr:to>
      <xdr:col>15</xdr:col>
      <xdr:colOff>317500</xdr:colOff>
      <xdr:row>32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105491</xdr:colOff>
      <xdr:row>3</xdr:row>
      <xdr:rowOff>174932</xdr:rowOff>
    </xdr:from>
    <xdr:to>
      <xdr:col>27</xdr:col>
      <xdr:colOff>51210</xdr:colOff>
      <xdr:row>28</xdr:row>
      <xdr:rowOff>174113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105491</xdr:colOff>
      <xdr:row>3</xdr:row>
      <xdr:rowOff>174932</xdr:rowOff>
    </xdr:from>
    <xdr:to>
      <xdr:col>27</xdr:col>
      <xdr:colOff>51210</xdr:colOff>
      <xdr:row>28</xdr:row>
      <xdr:rowOff>174113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105491</xdr:colOff>
      <xdr:row>3</xdr:row>
      <xdr:rowOff>174932</xdr:rowOff>
    </xdr:from>
    <xdr:to>
      <xdr:col>27</xdr:col>
      <xdr:colOff>51210</xdr:colOff>
      <xdr:row>28</xdr:row>
      <xdr:rowOff>174113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105491</xdr:colOff>
      <xdr:row>3</xdr:row>
      <xdr:rowOff>174932</xdr:rowOff>
    </xdr:from>
    <xdr:to>
      <xdr:col>27</xdr:col>
      <xdr:colOff>51210</xdr:colOff>
      <xdr:row>28</xdr:row>
      <xdr:rowOff>174113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0</xdr:colOff>
      <xdr:row>59</xdr:row>
      <xdr:rowOff>0</xdr:rowOff>
    </xdr:from>
    <xdr:ext cx="9360000" cy="3600000"/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159</xdr:row>
      <xdr:rowOff>111288</xdr:rowOff>
    </xdr:from>
    <xdr:ext cx="11835876" cy="348871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178</xdr:row>
      <xdr:rowOff>183298</xdr:rowOff>
    </xdr:from>
    <xdr:ext cx="11292526" cy="37641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0</xdr:colOff>
      <xdr:row>159</xdr:row>
      <xdr:rowOff>0</xdr:rowOff>
    </xdr:from>
    <xdr:ext cx="1008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179</xdr:row>
      <xdr:rowOff>0</xdr:rowOff>
    </xdr:from>
    <xdr:ext cx="1008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opLeftCell="C1" zoomScale="47" zoomScaleNormal="85" workbookViewId="0">
      <selection activeCell="AI10" sqref="AI10"/>
    </sheetView>
  </sheetViews>
  <sheetFormatPr defaultRowHeight="14.5" x14ac:dyDescent="0.35"/>
  <cols>
    <col min="1" max="1" width="21.453125" bestFit="1" customWidth="1"/>
    <col min="2" max="2" width="17.7265625" customWidth="1"/>
    <col min="3" max="3" width="25" customWidth="1"/>
    <col min="7" max="7" width="41.1796875" customWidth="1"/>
    <col min="8" max="8" width="24.7265625" bestFit="1" customWidth="1"/>
  </cols>
  <sheetData>
    <row r="1" spans="1:7" ht="45" customHeight="1" x14ac:dyDescent="0.35">
      <c r="A1" s="2" t="s">
        <v>21</v>
      </c>
      <c r="B1" s="1" t="s">
        <v>1</v>
      </c>
      <c r="C1" s="1" t="s">
        <v>2</v>
      </c>
      <c r="D1" s="11" t="s">
        <v>22</v>
      </c>
      <c r="E1" s="11" t="s">
        <v>4</v>
      </c>
      <c r="F1" s="11" t="s">
        <v>5</v>
      </c>
      <c r="G1" s="11" t="s">
        <v>23</v>
      </c>
    </row>
    <row r="2" spans="1:7" x14ac:dyDescent="0.35">
      <c r="A2" s="21">
        <v>46029</v>
      </c>
      <c r="B2">
        <v>2</v>
      </c>
      <c r="C2">
        <v>0</v>
      </c>
      <c r="D2">
        <f t="shared" ref="D2:D33" si="0">C2/B2</f>
        <v>0</v>
      </c>
      <c r="E2">
        <f t="shared" ref="E2:E33" si="1">$D$149+3*SQRT($D$149*(1-$D$149)/B2)</f>
        <v>0.90873614770122035</v>
      </c>
      <c r="F2">
        <f t="shared" ref="F2:F33" si="2">MAX(0,$D$149-3*SQRT($D$149*(1-$D$149)/B2))</f>
        <v>0</v>
      </c>
      <c r="G2" t="str">
        <f t="shared" ref="G2:G33" si="3">IF(AND(D2&lt;=E2,D2&gt;=F2),"KONTROL İÇİNDE"," KONTROL DIŞINDA")</f>
        <v>KONTROL İÇİNDE</v>
      </c>
    </row>
    <row r="3" spans="1:7" x14ac:dyDescent="0.35">
      <c r="A3" s="21">
        <v>46030</v>
      </c>
      <c r="B3">
        <v>34</v>
      </c>
      <c r="C3">
        <v>0</v>
      </c>
      <c r="D3">
        <f t="shared" si="0"/>
        <v>0</v>
      </c>
      <c r="E3">
        <f t="shared" si="1"/>
        <v>0.33433399815258374</v>
      </c>
      <c r="F3">
        <f t="shared" si="2"/>
        <v>0</v>
      </c>
      <c r="G3" t="str">
        <f t="shared" si="3"/>
        <v>KONTROL İÇİNDE</v>
      </c>
    </row>
    <row r="4" spans="1:7" x14ac:dyDescent="0.35">
      <c r="A4" s="21">
        <v>46031</v>
      </c>
      <c r="B4">
        <v>1</v>
      </c>
      <c r="C4">
        <v>0</v>
      </c>
      <c r="D4">
        <f t="shared" si="0"/>
        <v>0</v>
      </c>
      <c r="E4">
        <f t="shared" si="1"/>
        <v>1.222843541346917</v>
      </c>
      <c r="F4">
        <f t="shared" si="2"/>
        <v>0</v>
      </c>
      <c r="G4" t="str">
        <f t="shared" si="3"/>
        <v>KONTROL İÇİNDE</v>
      </c>
    </row>
    <row r="5" spans="1:7" x14ac:dyDescent="0.35">
      <c r="A5" s="21">
        <v>46035</v>
      </c>
      <c r="B5">
        <v>81</v>
      </c>
      <c r="C5">
        <v>0</v>
      </c>
      <c r="D5">
        <f t="shared" si="0"/>
        <v>0</v>
      </c>
      <c r="E5">
        <f t="shared" si="1"/>
        <v>0.26957267607864865</v>
      </c>
      <c r="F5">
        <f t="shared" si="2"/>
        <v>3.125495976158163E-2</v>
      </c>
      <c r="G5" t="str">
        <f t="shared" si="3"/>
        <v xml:space="preserve"> KONTROL DIŞINDA</v>
      </c>
    </row>
    <row r="6" spans="1:7" x14ac:dyDescent="0.35">
      <c r="A6" s="21">
        <v>46037</v>
      </c>
      <c r="B6">
        <v>6</v>
      </c>
      <c r="C6">
        <v>0</v>
      </c>
      <c r="D6">
        <f t="shared" si="0"/>
        <v>0</v>
      </c>
      <c r="E6">
        <f t="shared" si="1"/>
        <v>0.58823141915174038</v>
      </c>
      <c r="F6">
        <f t="shared" si="2"/>
        <v>0</v>
      </c>
      <c r="G6" t="str">
        <f t="shared" si="3"/>
        <v>KONTROL İÇİNDE</v>
      </c>
    </row>
    <row r="7" spans="1:7" x14ac:dyDescent="0.35">
      <c r="A7" s="21">
        <v>46038</v>
      </c>
      <c r="B7">
        <v>2</v>
      </c>
      <c r="C7">
        <v>0</v>
      </c>
      <c r="D7">
        <f t="shared" si="0"/>
        <v>0</v>
      </c>
      <c r="E7">
        <f t="shared" si="1"/>
        <v>0.90873614770122035</v>
      </c>
      <c r="F7">
        <f t="shared" si="2"/>
        <v>0</v>
      </c>
      <c r="G7" t="str">
        <f t="shared" si="3"/>
        <v>KONTROL İÇİNDE</v>
      </c>
    </row>
    <row r="8" spans="1:7" x14ac:dyDescent="0.35">
      <c r="A8" s="21">
        <v>46041</v>
      </c>
      <c r="B8">
        <v>12</v>
      </c>
      <c r="C8">
        <v>0</v>
      </c>
      <c r="D8">
        <f t="shared" si="0"/>
        <v>0</v>
      </c>
      <c r="E8">
        <f t="shared" si="1"/>
        <v>0.45999761267382511</v>
      </c>
      <c r="F8">
        <f t="shared" si="2"/>
        <v>0</v>
      </c>
      <c r="G8" t="str">
        <f t="shared" si="3"/>
        <v>KONTROL İÇİNDE</v>
      </c>
    </row>
    <row r="9" spans="1:7" x14ac:dyDescent="0.35">
      <c r="A9" s="21">
        <v>46043</v>
      </c>
      <c r="B9">
        <v>316</v>
      </c>
      <c r="C9">
        <v>0</v>
      </c>
      <c r="D9">
        <f t="shared" si="0"/>
        <v>0</v>
      </c>
      <c r="E9">
        <f t="shared" si="1"/>
        <v>0.21074270324116201</v>
      </c>
      <c r="F9">
        <f t="shared" si="2"/>
        <v>9.0084932599068315E-2</v>
      </c>
      <c r="G9" t="str">
        <f t="shared" si="3"/>
        <v xml:space="preserve"> KONTROL DIŞINDA</v>
      </c>
    </row>
    <row r="10" spans="1:7" x14ac:dyDescent="0.35">
      <c r="A10" s="21">
        <v>46045</v>
      </c>
      <c r="B10">
        <v>9</v>
      </c>
      <c r="C10">
        <v>1</v>
      </c>
      <c r="D10">
        <f t="shared" si="0"/>
        <v>0.1111111111111111</v>
      </c>
      <c r="E10">
        <f t="shared" si="1"/>
        <v>0.50789039239571565</v>
      </c>
      <c r="F10">
        <f t="shared" si="2"/>
        <v>0</v>
      </c>
      <c r="G10" t="str">
        <f t="shared" si="3"/>
        <v>KONTROL İÇİNDE</v>
      </c>
    </row>
    <row r="11" spans="1:7" x14ac:dyDescent="0.35">
      <c r="A11" s="21">
        <v>46048</v>
      </c>
      <c r="B11">
        <v>2</v>
      </c>
      <c r="C11">
        <v>0</v>
      </c>
      <c r="D11">
        <f t="shared" si="0"/>
        <v>0</v>
      </c>
      <c r="E11">
        <f t="shared" si="1"/>
        <v>0.90873614770122035</v>
      </c>
      <c r="F11">
        <f t="shared" si="2"/>
        <v>0</v>
      </c>
      <c r="G11" t="str">
        <f t="shared" si="3"/>
        <v>KONTROL İÇİNDE</v>
      </c>
    </row>
    <row r="12" spans="1:7" x14ac:dyDescent="0.35">
      <c r="A12" s="21">
        <v>46050</v>
      </c>
      <c r="B12">
        <v>205</v>
      </c>
      <c r="C12">
        <v>0</v>
      </c>
      <c r="D12">
        <f t="shared" si="0"/>
        <v>0</v>
      </c>
      <c r="E12">
        <f t="shared" si="1"/>
        <v>0.22531555881262197</v>
      </c>
      <c r="F12">
        <f t="shared" si="2"/>
        <v>7.5512077027608343E-2</v>
      </c>
      <c r="G12" t="str">
        <f t="shared" si="3"/>
        <v xml:space="preserve"> KONTROL DIŞINDA</v>
      </c>
    </row>
    <row r="13" spans="1:7" x14ac:dyDescent="0.35">
      <c r="A13" s="21">
        <v>46052</v>
      </c>
      <c r="B13">
        <v>6</v>
      </c>
      <c r="C13">
        <v>0</v>
      </c>
      <c r="D13">
        <f t="shared" si="0"/>
        <v>0</v>
      </c>
      <c r="E13">
        <f t="shared" si="1"/>
        <v>0.58823141915174038</v>
      </c>
      <c r="F13">
        <f t="shared" si="2"/>
        <v>0</v>
      </c>
      <c r="G13" t="str">
        <f t="shared" si="3"/>
        <v>KONTROL İÇİNDE</v>
      </c>
    </row>
    <row r="14" spans="1:7" x14ac:dyDescent="0.35">
      <c r="A14" s="21">
        <v>46055</v>
      </c>
      <c r="B14">
        <v>2</v>
      </c>
      <c r="C14">
        <v>0</v>
      </c>
      <c r="D14">
        <f t="shared" si="0"/>
        <v>0</v>
      </c>
      <c r="E14">
        <f t="shared" si="1"/>
        <v>0.90873614770122035</v>
      </c>
      <c r="F14">
        <f t="shared" si="2"/>
        <v>0</v>
      </c>
      <c r="G14" t="str">
        <f t="shared" si="3"/>
        <v>KONTROL İÇİNDE</v>
      </c>
    </row>
    <row r="15" spans="1:7" x14ac:dyDescent="0.35">
      <c r="A15" s="21">
        <v>46056</v>
      </c>
      <c r="B15">
        <v>1</v>
      </c>
      <c r="C15">
        <v>0</v>
      </c>
      <c r="D15">
        <f t="shared" si="0"/>
        <v>0</v>
      </c>
      <c r="E15">
        <f t="shared" si="1"/>
        <v>1.222843541346917</v>
      </c>
      <c r="F15">
        <f t="shared" si="2"/>
        <v>0</v>
      </c>
      <c r="G15" t="str">
        <f t="shared" si="3"/>
        <v>KONTROL İÇİNDE</v>
      </c>
    </row>
    <row r="16" spans="1:7" x14ac:dyDescent="0.35">
      <c r="A16" s="21">
        <v>46057</v>
      </c>
      <c r="B16">
        <v>7</v>
      </c>
      <c r="C16">
        <v>0</v>
      </c>
      <c r="D16">
        <f t="shared" si="0"/>
        <v>0</v>
      </c>
      <c r="E16">
        <f t="shared" si="1"/>
        <v>0.55575415317455756</v>
      </c>
      <c r="F16">
        <f t="shared" si="2"/>
        <v>0</v>
      </c>
      <c r="G16" t="str">
        <f t="shared" si="3"/>
        <v>KONTROL İÇİNDE</v>
      </c>
    </row>
    <row r="17" spans="1:8" x14ac:dyDescent="0.35">
      <c r="A17" s="21">
        <v>46058</v>
      </c>
      <c r="B17">
        <v>10</v>
      </c>
      <c r="C17">
        <v>3</v>
      </c>
      <c r="D17">
        <f t="shared" si="0"/>
        <v>0.3</v>
      </c>
      <c r="E17">
        <f t="shared" si="1"/>
        <v>0.48954587356942803</v>
      </c>
      <c r="F17">
        <f t="shared" si="2"/>
        <v>0</v>
      </c>
      <c r="G17" t="str">
        <f t="shared" si="3"/>
        <v>KONTROL İÇİNDE</v>
      </c>
    </row>
    <row r="18" spans="1:8" x14ac:dyDescent="0.35">
      <c r="A18" s="21">
        <v>46059</v>
      </c>
      <c r="B18">
        <v>7</v>
      </c>
      <c r="C18">
        <v>0</v>
      </c>
      <c r="D18">
        <f t="shared" si="0"/>
        <v>0</v>
      </c>
      <c r="E18">
        <f t="shared" si="1"/>
        <v>0.55575415317455756</v>
      </c>
      <c r="F18">
        <f t="shared" si="2"/>
        <v>0</v>
      </c>
      <c r="G18" t="str">
        <f t="shared" si="3"/>
        <v>KONTROL İÇİNDE</v>
      </c>
    </row>
    <row r="19" spans="1:8" x14ac:dyDescent="0.35">
      <c r="A19" s="21">
        <v>46062</v>
      </c>
      <c r="B19">
        <v>25</v>
      </c>
      <c r="C19">
        <v>0</v>
      </c>
      <c r="D19">
        <f t="shared" si="0"/>
        <v>0</v>
      </c>
      <c r="E19">
        <f t="shared" si="1"/>
        <v>0.36489976260547552</v>
      </c>
      <c r="F19">
        <f t="shared" si="2"/>
        <v>0</v>
      </c>
      <c r="G19" t="str">
        <f t="shared" si="3"/>
        <v>KONTROL İÇİNDE</v>
      </c>
    </row>
    <row r="20" spans="1:8" x14ac:dyDescent="0.35">
      <c r="A20" s="21">
        <v>46063</v>
      </c>
      <c r="B20">
        <v>5</v>
      </c>
      <c r="C20">
        <v>1</v>
      </c>
      <c r="D20">
        <f t="shared" si="0"/>
        <v>0.2</v>
      </c>
      <c r="E20">
        <f t="shared" si="1"/>
        <v>0.63001897045484068</v>
      </c>
      <c r="F20">
        <f t="shared" si="2"/>
        <v>0</v>
      </c>
      <c r="G20" t="str">
        <f t="shared" si="3"/>
        <v>KONTROL İÇİNDE</v>
      </c>
    </row>
    <row r="21" spans="1:8" x14ac:dyDescent="0.35">
      <c r="A21" s="21">
        <v>46064</v>
      </c>
      <c r="B21">
        <v>2</v>
      </c>
      <c r="C21">
        <v>0</v>
      </c>
      <c r="D21">
        <f t="shared" si="0"/>
        <v>0</v>
      </c>
      <c r="E21">
        <f t="shared" si="1"/>
        <v>0.90873614770122035</v>
      </c>
      <c r="F21">
        <f t="shared" si="2"/>
        <v>0</v>
      </c>
      <c r="G21" t="str">
        <f t="shared" si="3"/>
        <v>KONTROL İÇİNDE</v>
      </c>
    </row>
    <row r="22" spans="1:8" x14ac:dyDescent="0.35">
      <c r="A22" s="21">
        <v>46065</v>
      </c>
      <c r="B22">
        <v>86</v>
      </c>
      <c r="C22">
        <v>0</v>
      </c>
      <c r="D22">
        <f t="shared" si="0"/>
        <v>0</v>
      </c>
      <c r="E22">
        <f t="shared" si="1"/>
        <v>0.26605688906302366</v>
      </c>
      <c r="F22">
        <f t="shared" si="2"/>
        <v>3.4770746777206651E-2</v>
      </c>
      <c r="G22" t="str">
        <f t="shared" si="3"/>
        <v xml:space="preserve"> KONTROL DIŞINDA</v>
      </c>
    </row>
    <row r="23" spans="1:8" x14ac:dyDescent="0.35">
      <c r="A23" s="21">
        <v>46066</v>
      </c>
      <c r="B23">
        <v>16</v>
      </c>
      <c r="C23">
        <v>0</v>
      </c>
      <c r="D23">
        <f t="shared" si="0"/>
        <v>0</v>
      </c>
      <c r="E23">
        <f t="shared" si="1"/>
        <v>0.41852124877681562</v>
      </c>
      <c r="F23">
        <f t="shared" si="2"/>
        <v>0</v>
      </c>
      <c r="G23" t="str">
        <f t="shared" si="3"/>
        <v>KONTROL İÇİNDE</v>
      </c>
    </row>
    <row r="24" spans="1:8" x14ac:dyDescent="0.35">
      <c r="A24" s="21">
        <v>46069</v>
      </c>
      <c r="B24">
        <v>7</v>
      </c>
      <c r="C24">
        <v>0</v>
      </c>
      <c r="D24">
        <f t="shared" si="0"/>
        <v>0</v>
      </c>
      <c r="E24">
        <f t="shared" si="1"/>
        <v>0.55575415317455756</v>
      </c>
      <c r="F24">
        <f t="shared" si="2"/>
        <v>0</v>
      </c>
      <c r="G24" t="str">
        <f t="shared" si="3"/>
        <v>KONTROL İÇİNDE</v>
      </c>
    </row>
    <row r="25" spans="1:8" x14ac:dyDescent="0.35">
      <c r="A25" s="21">
        <v>46070</v>
      </c>
      <c r="B25">
        <v>11</v>
      </c>
      <c r="C25">
        <v>0</v>
      </c>
      <c r="D25">
        <f t="shared" si="0"/>
        <v>0</v>
      </c>
      <c r="E25">
        <f t="shared" si="1"/>
        <v>0.4737635457956893</v>
      </c>
      <c r="F25">
        <f t="shared" si="2"/>
        <v>0</v>
      </c>
      <c r="G25" t="str">
        <f t="shared" si="3"/>
        <v>KONTROL İÇİNDE</v>
      </c>
    </row>
    <row r="26" spans="1:8" x14ac:dyDescent="0.35">
      <c r="A26" s="21">
        <v>46071</v>
      </c>
      <c r="B26">
        <v>806</v>
      </c>
      <c r="C26">
        <v>800</v>
      </c>
      <c r="D26">
        <f t="shared" si="0"/>
        <v>0.99255583126550873</v>
      </c>
      <c r="E26">
        <f t="shared" si="1"/>
        <v>0.18818854379929598</v>
      </c>
      <c r="F26">
        <f t="shared" si="2"/>
        <v>0.11263909204093434</v>
      </c>
      <c r="G26" t="str">
        <f t="shared" si="3"/>
        <v xml:space="preserve"> KONTROL DIŞINDA</v>
      </c>
      <c r="H26" s="5" t="s">
        <v>24</v>
      </c>
    </row>
    <row r="27" spans="1:8" x14ac:dyDescent="0.35">
      <c r="A27" s="21">
        <v>46072</v>
      </c>
      <c r="B27">
        <v>8</v>
      </c>
      <c r="C27">
        <v>0</v>
      </c>
      <c r="D27">
        <f t="shared" si="0"/>
        <v>0</v>
      </c>
      <c r="E27">
        <f t="shared" si="1"/>
        <v>0.52957498281066773</v>
      </c>
      <c r="F27">
        <f t="shared" si="2"/>
        <v>0</v>
      </c>
      <c r="G27" t="str">
        <f t="shared" si="3"/>
        <v>KONTROL İÇİNDE</v>
      </c>
    </row>
    <row r="28" spans="1:8" x14ac:dyDescent="0.35">
      <c r="A28" s="21">
        <v>46076</v>
      </c>
      <c r="B28">
        <v>12</v>
      </c>
      <c r="C28">
        <v>0</v>
      </c>
      <c r="D28">
        <f t="shared" si="0"/>
        <v>0</v>
      </c>
      <c r="E28">
        <f t="shared" si="1"/>
        <v>0.45999761267382511</v>
      </c>
      <c r="F28">
        <f t="shared" si="2"/>
        <v>0</v>
      </c>
      <c r="G28" t="str">
        <f t="shared" si="3"/>
        <v>KONTROL İÇİNDE</v>
      </c>
    </row>
    <row r="29" spans="1:8" x14ac:dyDescent="0.35">
      <c r="A29" s="21">
        <v>46077</v>
      </c>
      <c r="B29">
        <v>5</v>
      </c>
      <c r="C29">
        <v>0</v>
      </c>
      <c r="D29">
        <f t="shared" si="0"/>
        <v>0</v>
      </c>
      <c r="E29">
        <f t="shared" si="1"/>
        <v>0.63001897045484068</v>
      </c>
      <c r="F29">
        <f t="shared" si="2"/>
        <v>0</v>
      </c>
      <c r="G29" t="str">
        <f t="shared" si="3"/>
        <v>KONTROL İÇİNDE</v>
      </c>
    </row>
    <row r="30" spans="1:8" x14ac:dyDescent="0.35">
      <c r="A30" s="21">
        <v>46078</v>
      </c>
      <c r="B30">
        <v>3</v>
      </c>
      <c r="C30">
        <v>0</v>
      </c>
      <c r="D30">
        <f t="shared" si="0"/>
        <v>0</v>
      </c>
      <c r="E30">
        <f t="shared" si="1"/>
        <v>0.76958140742753511</v>
      </c>
      <c r="F30">
        <f t="shared" si="2"/>
        <v>0</v>
      </c>
      <c r="G30" t="str">
        <f t="shared" si="3"/>
        <v>KONTROL İÇİNDE</v>
      </c>
    </row>
    <row r="31" spans="1:8" x14ac:dyDescent="0.35">
      <c r="A31" s="21">
        <v>46079</v>
      </c>
      <c r="B31">
        <v>2</v>
      </c>
      <c r="C31">
        <v>0</v>
      </c>
      <c r="D31">
        <f t="shared" si="0"/>
        <v>0</v>
      </c>
      <c r="E31">
        <f t="shared" si="1"/>
        <v>0.90873614770122035</v>
      </c>
      <c r="F31">
        <f t="shared" si="2"/>
        <v>0</v>
      </c>
      <c r="G31" t="str">
        <f t="shared" si="3"/>
        <v>KONTROL İÇİNDE</v>
      </c>
    </row>
    <row r="32" spans="1:8" x14ac:dyDescent="0.35">
      <c r="A32" s="21">
        <v>46081</v>
      </c>
      <c r="B32">
        <v>28</v>
      </c>
      <c r="C32">
        <v>0</v>
      </c>
      <c r="D32">
        <f t="shared" si="0"/>
        <v>0</v>
      </c>
      <c r="E32">
        <f t="shared" si="1"/>
        <v>0.35308398554733639</v>
      </c>
      <c r="F32">
        <f t="shared" si="2"/>
        <v>0</v>
      </c>
      <c r="G32" t="str">
        <f t="shared" si="3"/>
        <v>KONTROL İÇİNDE</v>
      </c>
    </row>
    <row r="33" spans="1:7" x14ac:dyDescent="0.35">
      <c r="A33" s="21">
        <v>46083</v>
      </c>
      <c r="B33">
        <v>2</v>
      </c>
      <c r="C33">
        <v>0</v>
      </c>
      <c r="D33">
        <f t="shared" si="0"/>
        <v>0</v>
      </c>
      <c r="E33">
        <f t="shared" si="1"/>
        <v>0.90873614770122035</v>
      </c>
      <c r="F33">
        <f t="shared" si="2"/>
        <v>0</v>
      </c>
      <c r="G33" t="str">
        <f t="shared" si="3"/>
        <v>KONTROL İÇİNDE</v>
      </c>
    </row>
    <row r="34" spans="1:7" x14ac:dyDescent="0.35">
      <c r="A34" s="21">
        <v>46084</v>
      </c>
      <c r="B34">
        <v>134</v>
      </c>
      <c r="C34">
        <v>1</v>
      </c>
      <c r="D34">
        <f t="shared" ref="D34:D65" si="4">C34/B34</f>
        <v>7.462686567164179E-3</v>
      </c>
      <c r="E34">
        <f t="shared" ref="E34:E65" si="5">$D$149+3*SQRT($D$149*(1-$D$149)/B34)</f>
        <v>0.24305763559245164</v>
      </c>
      <c r="F34">
        <f t="shared" ref="F34:F65" si="6">MAX(0,$D$149-3*SQRT($D$149*(1-$D$149)/B34))</f>
        <v>5.7770000247778688E-2</v>
      </c>
      <c r="G34" t="str">
        <f t="shared" ref="G34:G65" si="7">IF(AND(D34&lt;=E34,D34&gt;=F34),"KONTROL İÇİNDE"," KONTROL DIŞINDA")</f>
        <v xml:space="preserve"> KONTROL DIŞINDA</v>
      </c>
    </row>
    <row r="35" spans="1:7" x14ac:dyDescent="0.35">
      <c r="A35" s="21">
        <v>46086</v>
      </c>
      <c r="B35">
        <v>113</v>
      </c>
      <c r="C35" s="22">
        <v>3</v>
      </c>
      <c r="D35">
        <f t="shared" si="4"/>
        <v>2.6548672566371681E-2</v>
      </c>
      <c r="E35">
        <f t="shared" si="5"/>
        <v>0.25129951999035938</v>
      </c>
      <c r="F35">
        <f t="shared" si="6"/>
        <v>4.9528115849870963E-2</v>
      </c>
      <c r="G35" t="str">
        <f t="shared" si="7"/>
        <v xml:space="preserve"> KONTROL DIŞINDA</v>
      </c>
    </row>
    <row r="36" spans="1:7" x14ac:dyDescent="0.35">
      <c r="A36" s="21">
        <v>46086</v>
      </c>
      <c r="B36">
        <v>59</v>
      </c>
      <c r="C36">
        <v>0</v>
      </c>
      <c r="D36">
        <f t="shared" si="4"/>
        <v>0</v>
      </c>
      <c r="E36">
        <f t="shared" si="5"/>
        <v>0.29003227571651663</v>
      </c>
      <c r="F36">
        <f t="shared" si="6"/>
        <v>1.0795360123713682E-2</v>
      </c>
      <c r="G36" t="str">
        <f t="shared" si="7"/>
        <v xml:space="preserve"> KONTROL DIŞINDA</v>
      </c>
    </row>
    <row r="37" spans="1:7" x14ac:dyDescent="0.35">
      <c r="A37" s="21">
        <v>46087</v>
      </c>
      <c r="B37">
        <v>2</v>
      </c>
      <c r="C37">
        <v>0</v>
      </c>
      <c r="D37">
        <f t="shared" si="4"/>
        <v>0</v>
      </c>
      <c r="E37">
        <f t="shared" si="5"/>
        <v>0.90873614770122035</v>
      </c>
      <c r="F37">
        <f t="shared" si="6"/>
        <v>0</v>
      </c>
      <c r="G37" t="str">
        <f t="shared" si="7"/>
        <v>KONTROL İÇİNDE</v>
      </c>
    </row>
    <row r="38" spans="1:7" x14ac:dyDescent="0.35">
      <c r="A38" s="21">
        <v>46090</v>
      </c>
      <c r="B38">
        <v>2</v>
      </c>
      <c r="C38">
        <v>0</v>
      </c>
      <c r="D38">
        <f t="shared" si="4"/>
        <v>0</v>
      </c>
      <c r="E38">
        <f t="shared" si="5"/>
        <v>0.90873614770122035</v>
      </c>
      <c r="F38">
        <f t="shared" si="6"/>
        <v>0</v>
      </c>
      <c r="G38" t="str">
        <f t="shared" si="7"/>
        <v>KONTROL İÇİNDE</v>
      </c>
    </row>
    <row r="39" spans="1:7" x14ac:dyDescent="0.35">
      <c r="A39" s="21">
        <v>46091</v>
      </c>
      <c r="B39">
        <v>2</v>
      </c>
      <c r="C39">
        <v>0</v>
      </c>
      <c r="D39">
        <f t="shared" si="4"/>
        <v>0</v>
      </c>
      <c r="E39">
        <f t="shared" si="5"/>
        <v>0.90873614770122035</v>
      </c>
      <c r="F39">
        <f t="shared" si="6"/>
        <v>0</v>
      </c>
      <c r="G39" t="str">
        <f t="shared" si="7"/>
        <v>KONTROL İÇİNDE</v>
      </c>
    </row>
    <row r="40" spans="1:7" x14ac:dyDescent="0.35">
      <c r="A40" s="21">
        <v>46092</v>
      </c>
      <c r="B40">
        <v>9</v>
      </c>
      <c r="C40">
        <v>0</v>
      </c>
      <c r="D40">
        <f t="shared" si="4"/>
        <v>0</v>
      </c>
      <c r="E40">
        <f t="shared" si="5"/>
        <v>0.50789039239571565</v>
      </c>
      <c r="F40">
        <f t="shared" si="6"/>
        <v>0</v>
      </c>
      <c r="G40" t="str">
        <f t="shared" si="7"/>
        <v>KONTROL İÇİNDE</v>
      </c>
    </row>
    <row r="41" spans="1:7" x14ac:dyDescent="0.35">
      <c r="A41" s="21">
        <v>46093</v>
      </c>
      <c r="B41">
        <v>23</v>
      </c>
      <c r="C41">
        <v>0</v>
      </c>
      <c r="D41">
        <f t="shared" si="4"/>
        <v>0</v>
      </c>
      <c r="E41">
        <f t="shared" si="5"/>
        <v>0.37403087331784546</v>
      </c>
      <c r="F41">
        <f t="shared" si="6"/>
        <v>0</v>
      </c>
      <c r="G41" t="str">
        <f t="shared" si="7"/>
        <v>KONTROL İÇİNDE</v>
      </c>
    </row>
    <row r="42" spans="1:7" x14ac:dyDescent="0.35">
      <c r="A42" s="21">
        <v>46094</v>
      </c>
      <c r="B42">
        <v>1</v>
      </c>
      <c r="C42">
        <v>0</v>
      </c>
      <c r="D42">
        <f t="shared" si="4"/>
        <v>0</v>
      </c>
      <c r="E42">
        <f t="shared" si="5"/>
        <v>1.222843541346917</v>
      </c>
      <c r="F42">
        <f t="shared" si="6"/>
        <v>0</v>
      </c>
      <c r="G42" t="str">
        <f t="shared" si="7"/>
        <v>KONTROL İÇİNDE</v>
      </c>
    </row>
    <row r="43" spans="1:7" x14ac:dyDescent="0.35">
      <c r="A43" s="21">
        <v>46096</v>
      </c>
      <c r="B43">
        <v>1</v>
      </c>
      <c r="C43">
        <v>0</v>
      </c>
      <c r="D43">
        <f t="shared" si="4"/>
        <v>0</v>
      </c>
      <c r="E43">
        <f t="shared" si="5"/>
        <v>1.222843541346917</v>
      </c>
      <c r="F43">
        <f t="shared" si="6"/>
        <v>0</v>
      </c>
      <c r="G43" t="str">
        <f t="shared" si="7"/>
        <v>KONTROL İÇİNDE</v>
      </c>
    </row>
    <row r="44" spans="1:7" x14ac:dyDescent="0.35">
      <c r="A44" s="21">
        <v>46097</v>
      </c>
      <c r="B44">
        <v>33</v>
      </c>
      <c r="C44">
        <v>0</v>
      </c>
      <c r="D44">
        <f t="shared" si="4"/>
        <v>0</v>
      </c>
      <c r="E44">
        <f t="shared" si="5"/>
        <v>0.33709987035147015</v>
      </c>
      <c r="F44">
        <f t="shared" si="6"/>
        <v>0</v>
      </c>
      <c r="G44" t="str">
        <f t="shared" si="7"/>
        <v>KONTROL İÇİNDE</v>
      </c>
    </row>
    <row r="45" spans="1:7" x14ac:dyDescent="0.35">
      <c r="A45" s="21">
        <v>46098</v>
      </c>
      <c r="B45">
        <v>17</v>
      </c>
      <c r="C45">
        <v>0</v>
      </c>
      <c r="D45">
        <f t="shared" si="4"/>
        <v>0</v>
      </c>
      <c r="E45">
        <f t="shared" si="5"/>
        <v>0.41051623119897623</v>
      </c>
      <c r="F45">
        <f t="shared" si="6"/>
        <v>0</v>
      </c>
      <c r="G45" t="str">
        <f t="shared" si="7"/>
        <v>KONTROL İÇİNDE</v>
      </c>
    </row>
    <row r="46" spans="1:7" x14ac:dyDescent="0.35">
      <c r="A46" s="21">
        <v>46099</v>
      </c>
      <c r="B46">
        <v>30</v>
      </c>
      <c r="C46">
        <v>0</v>
      </c>
      <c r="D46">
        <f t="shared" si="4"/>
        <v>0</v>
      </c>
      <c r="E46">
        <f t="shared" si="5"/>
        <v>0.34621180154007708</v>
      </c>
      <c r="F46">
        <f t="shared" si="6"/>
        <v>0</v>
      </c>
      <c r="G46" t="str">
        <f t="shared" si="7"/>
        <v>KONTROL İÇİNDE</v>
      </c>
    </row>
    <row r="47" spans="1:7" x14ac:dyDescent="0.35">
      <c r="A47" s="21">
        <v>46101</v>
      </c>
      <c r="B47">
        <v>1</v>
      </c>
      <c r="C47">
        <v>0</v>
      </c>
      <c r="D47">
        <f t="shared" si="4"/>
        <v>0</v>
      </c>
      <c r="E47">
        <f t="shared" si="5"/>
        <v>1.222843541346917</v>
      </c>
      <c r="F47">
        <f t="shared" si="6"/>
        <v>0</v>
      </c>
      <c r="G47" t="str">
        <f t="shared" si="7"/>
        <v>KONTROL İÇİNDE</v>
      </c>
    </row>
    <row r="48" spans="1:7" x14ac:dyDescent="0.35">
      <c r="A48" s="21">
        <v>46105</v>
      </c>
      <c r="B48">
        <v>130</v>
      </c>
      <c r="C48">
        <v>0</v>
      </c>
      <c r="D48">
        <f t="shared" si="4"/>
        <v>0</v>
      </c>
      <c r="E48">
        <f t="shared" si="5"/>
        <v>0.24447212682758473</v>
      </c>
      <c r="F48">
        <f t="shared" si="6"/>
        <v>5.6355509012645577E-2</v>
      </c>
      <c r="G48" t="str">
        <f t="shared" si="7"/>
        <v xml:space="preserve"> KONTROL DIŞINDA</v>
      </c>
    </row>
    <row r="49" spans="1:7" x14ac:dyDescent="0.35">
      <c r="A49" s="21">
        <v>46106</v>
      </c>
      <c r="B49">
        <v>56</v>
      </c>
      <c r="C49">
        <v>1</v>
      </c>
      <c r="D49">
        <f t="shared" si="4"/>
        <v>1.7857142857142856E-2</v>
      </c>
      <c r="E49">
        <f t="shared" si="5"/>
        <v>0.29372326779353758</v>
      </c>
      <c r="F49">
        <f t="shared" si="6"/>
        <v>7.1043680466927328E-3</v>
      </c>
      <c r="G49" t="str">
        <f t="shared" si="7"/>
        <v>KONTROL İÇİNDE</v>
      </c>
    </row>
    <row r="50" spans="1:7" x14ac:dyDescent="0.35">
      <c r="A50" s="21">
        <v>46107</v>
      </c>
      <c r="B50">
        <v>1</v>
      </c>
      <c r="C50">
        <v>0</v>
      </c>
      <c r="D50">
        <f t="shared" si="4"/>
        <v>0</v>
      </c>
      <c r="E50">
        <f t="shared" si="5"/>
        <v>1.222843541346917</v>
      </c>
      <c r="F50">
        <f t="shared" si="6"/>
        <v>0</v>
      </c>
      <c r="G50" t="str">
        <f t="shared" si="7"/>
        <v>KONTROL İÇİNDE</v>
      </c>
    </row>
    <row r="51" spans="1:7" x14ac:dyDescent="0.35">
      <c r="A51" s="21">
        <v>46108</v>
      </c>
      <c r="B51">
        <v>23</v>
      </c>
      <c r="C51">
        <v>0</v>
      </c>
      <c r="D51">
        <f t="shared" si="4"/>
        <v>0</v>
      </c>
      <c r="E51">
        <f t="shared" si="5"/>
        <v>0.37403087331784546</v>
      </c>
      <c r="F51">
        <f t="shared" si="6"/>
        <v>0</v>
      </c>
      <c r="G51" t="str">
        <f t="shared" si="7"/>
        <v>KONTROL İÇİNDE</v>
      </c>
    </row>
    <row r="52" spans="1:7" x14ac:dyDescent="0.35">
      <c r="A52" s="21">
        <v>46111</v>
      </c>
      <c r="B52">
        <v>2</v>
      </c>
      <c r="C52">
        <v>0</v>
      </c>
      <c r="D52">
        <f t="shared" si="4"/>
        <v>0</v>
      </c>
      <c r="E52">
        <f t="shared" si="5"/>
        <v>0.90873614770122035</v>
      </c>
      <c r="F52">
        <f t="shared" si="6"/>
        <v>0</v>
      </c>
      <c r="G52" t="str">
        <f t="shared" si="7"/>
        <v>KONTROL İÇİNDE</v>
      </c>
    </row>
    <row r="53" spans="1:7" x14ac:dyDescent="0.35">
      <c r="A53" s="21">
        <v>46112</v>
      </c>
      <c r="B53">
        <v>19</v>
      </c>
      <c r="C53">
        <v>1</v>
      </c>
      <c r="D53">
        <f t="shared" si="4"/>
        <v>5.2631578947368418E-2</v>
      </c>
      <c r="E53">
        <f t="shared" si="5"/>
        <v>0.39644606994467846</v>
      </c>
      <c r="F53">
        <f t="shared" si="6"/>
        <v>0</v>
      </c>
      <c r="G53" t="str">
        <f t="shared" si="7"/>
        <v>KONTROL İÇİNDE</v>
      </c>
    </row>
    <row r="54" spans="1:7" x14ac:dyDescent="0.35">
      <c r="A54" s="21">
        <v>46113</v>
      </c>
      <c r="B54">
        <v>2</v>
      </c>
      <c r="C54">
        <v>0</v>
      </c>
      <c r="D54">
        <f t="shared" si="4"/>
        <v>0</v>
      </c>
      <c r="E54">
        <f t="shared" si="5"/>
        <v>0.90873614770122035</v>
      </c>
      <c r="F54">
        <f t="shared" si="6"/>
        <v>0</v>
      </c>
      <c r="G54" t="str">
        <f t="shared" si="7"/>
        <v>KONTROL İÇİNDE</v>
      </c>
    </row>
    <row r="55" spans="1:7" x14ac:dyDescent="0.35">
      <c r="A55" s="21">
        <v>46115</v>
      </c>
      <c r="B55">
        <v>8</v>
      </c>
      <c r="C55">
        <v>0</v>
      </c>
      <c r="D55">
        <f t="shared" si="4"/>
        <v>0</v>
      </c>
      <c r="E55">
        <f t="shared" si="5"/>
        <v>0.52957498281066773</v>
      </c>
      <c r="F55">
        <f t="shared" si="6"/>
        <v>0</v>
      </c>
      <c r="G55" t="str">
        <f t="shared" si="7"/>
        <v>KONTROL İÇİNDE</v>
      </c>
    </row>
    <row r="56" spans="1:7" x14ac:dyDescent="0.35">
      <c r="A56" s="21">
        <v>46118</v>
      </c>
      <c r="B56">
        <v>2</v>
      </c>
      <c r="C56">
        <v>0</v>
      </c>
      <c r="D56">
        <f t="shared" si="4"/>
        <v>0</v>
      </c>
      <c r="E56">
        <f t="shared" si="5"/>
        <v>0.90873614770122035</v>
      </c>
      <c r="F56">
        <f t="shared" si="6"/>
        <v>0</v>
      </c>
      <c r="G56" t="str">
        <f t="shared" si="7"/>
        <v>KONTROL İÇİNDE</v>
      </c>
    </row>
    <row r="57" spans="1:7" x14ac:dyDescent="0.35">
      <c r="A57" s="21">
        <v>46119</v>
      </c>
      <c r="B57">
        <v>14</v>
      </c>
      <c r="C57">
        <v>0</v>
      </c>
      <c r="D57">
        <f t="shared" si="4"/>
        <v>0</v>
      </c>
      <c r="E57">
        <f t="shared" si="5"/>
        <v>0.43703271766696</v>
      </c>
      <c r="F57">
        <f t="shared" si="6"/>
        <v>0</v>
      </c>
      <c r="G57" t="str">
        <f t="shared" si="7"/>
        <v>KONTROL İÇİNDE</v>
      </c>
    </row>
    <row r="58" spans="1:7" x14ac:dyDescent="0.35">
      <c r="A58" s="21">
        <v>46120</v>
      </c>
      <c r="B58">
        <v>8</v>
      </c>
      <c r="C58">
        <v>0</v>
      </c>
      <c r="D58">
        <f t="shared" si="4"/>
        <v>0</v>
      </c>
      <c r="E58">
        <f t="shared" si="5"/>
        <v>0.52957498281066773</v>
      </c>
      <c r="F58">
        <f t="shared" si="6"/>
        <v>0</v>
      </c>
      <c r="G58" t="str">
        <f t="shared" si="7"/>
        <v>KONTROL İÇİNDE</v>
      </c>
    </row>
    <row r="59" spans="1:7" x14ac:dyDescent="0.35">
      <c r="A59" s="21">
        <v>46121</v>
      </c>
      <c r="B59">
        <v>25</v>
      </c>
      <c r="C59">
        <v>0</v>
      </c>
      <c r="D59">
        <f t="shared" si="4"/>
        <v>0</v>
      </c>
      <c r="E59">
        <f t="shared" si="5"/>
        <v>0.36489976260547552</v>
      </c>
      <c r="F59">
        <f t="shared" si="6"/>
        <v>0</v>
      </c>
      <c r="G59" t="str">
        <f t="shared" si="7"/>
        <v>KONTROL İÇİNDE</v>
      </c>
    </row>
    <row r="60" spans="1:7" x14ac:dyDescent="0.35">
      <c r="A60" s="21">
        <v>46122</v>
      </c>
      <c r="B60">
        <v>1</v>
      </c>
      <c r="C60">
        <v>0</v>
      </c>
      <c r="D60">
        <f t="shared" si="4"/>
        <v>0</v>
      </c>
      <c r="E60">
        <f t="shared" si="5"/>
        <v>1.222843541346917</v>
      </c>
      <c r="F60">
        <f t="shared" si="6"/>
        <v>0</v>
      </c>
      <c r="G60" t="str">
        <f t="shared" si="7"/>
        <v>KONTROL İÇİNDE</v>
      </c>
    </row>
    <row r="61" spans="1:7" x14ac:dyDescent="0.35">
      <c r="A61" s="21">
        <v>46125</v>
      </c>
      <c r="B61">
        <v>43</v>
      </c>
      <c r="C61">
        <v>0</v>
      </c>
      <c r="D61">
        <f t="shared" si="4"/>
        <v>0</v>
      </c>
      <c r="E61">
        <f t="shared" si="5"/>
        <v>0.31395781752489305</v>
      </c>
      <c r="F61">
        <f t="shared" si="6"/>
        <v>0</v>
      </c>
      <c r="G61" t="str">
        <f t="shared" si="7"/>
        <v>KONTROL İÇİNDE</v>
      </c>
    </row>
    <row r="62" spans="1:7" x14ac:dyDescent="0.35">
      <c r="A62" s="21">
        <v>46126</v>
      </c>
      <c r="B62">
        <v>14</v>
      </c>
      <c r="C62">
        <v>0</v>
      </c>
      <c r="D62">
        <f t="shared" si="4"/>
        <v>0</v>
      </c>
      <c r="E62">
        <f t="shared" si="5"/>
        <v>0.43703271766696</v>
      </c>
      <c r="F62">
        <f t="shared" si="6"/>
        <v>0</v>
      </c>
      <c r="G62" t="str">
        <f t="shared" si="7"/>
        <v>KONTROL İÇİNDE</v>
      </c>
    </row>
    <row r="63" spans="1:7" x14ac:dyDescent="0.35">
      <c r="A63" s="21">
        <v>46127</v>
      </c>
      <c r="B63">
        <v>5</v>
      </c>
      <c r="C63">
        <v>0</v>
      </c>
      <c r="D63">
        <f t="shared" si="4"/>
        <v>0</v>
      </c>
      <c r="E63">
        <f t="shared" si="5"/>
        <v>0.63001897045484068</v>
      </c>
      <c r="F63">
        <f t="shared" si="6"/>
        <v>0</v>
      </c>
      <c r="G63" t="str">
        <f t="shared" si="7"/>
        <v>KONTROL İÇİNDE</v>
      </c>
    </row>
    <row r="64" spans="1:7" x14ac:dyDescent="0.35">
      <c r="A64" s="21">
        <v>46128</v>
      </c>
      <c r="B64">
        <v>53</v>
      </c>
      <c r="C64">
        <v>0</v>
      </c>
      <c r="D64">
        <f t="shared" si="4"/>
        <v>0</v>
      </c>
      <c r="E64">
        <f t="shared" si="5"/>
        <v>0.29772336952535727</v>
      </c>
      <c r="F64">
        <f t="shared" si="6"/>
        <v>3.1042663148730665E-3</v>
      </c>
      <c r="G64" t="str">
        <f t="shared" si="7"/>
        <v xml:space="preserve"> KONTROL DIŞINDA</v>
      </c>
    </row>
    <row r="65" spans="1:7" x14ac:dyDescent="0.35">
      <c r="A65" s="21">
        <v>46132</v>
      </c>
      <c r="B65">
        <v>8</v>
      </c>
      <c r="C65">
        <v>0</v>
      </c>
      <c r="D65">
        <f t="shared" si="4"/>
        <v>0</v>
      </c>
      <c r="E65">
        <f t="shared" si="5"/>
        <v>0.52957498281066773</v>
      </c>
      <c r="F65">
        <f t="shared" si="6"/>
        <v>0</v>
      </c>
      <c r="G65" t="str">
        <f t="shared" si="7"/>
        <v>KONTROL İÇİNDE</v>
      </c>
    </row>
    <row r="66" spans="1:7" x14ac:dyDescent="0.35">
      <c r="A66" s="21">
        <v>46133</v>
      </c>
      <c r="B66">
        <v>19</v>
      </c>
      <c r="C66">
        <v>0</v>
      </c>
      <c r="D66">
        <f t="shared" ref="D66:D97" si="8">C66/B66</f>
        <v>0</v>
      </c>
      <c r="E66">
        <f t="shared" ref="E66:E97" si="9">$D$149+3*SQRT($D$149*(1-$D$149)/B66)</f>
        <v>0.39644606994467846</v>
      </c>
      <c r="F66">
        <f t="shared" ref="F66:F97" si="10">MAX(0,$D$149-3*SQRT($D$149*(1-$D$149)/B66))</f>
        <v>0</v>
      </c>
      <c r="G66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46134</v>
      </c>
      <c r="B67">
        <v>2</v>
      </c>
      <c r="C67">
        <v>0</v>
      </c>
      <c r="D67">
        <f t="shared" si="8"/>
        <v>0</v>
      </c>
      <c r="E67">
        <f t="shared" si="9"/>
        <v>0.90873614770122035</v>
      </c>
      <c r="F67">
        <f t="shared" si="10"/>
        <v>0</v>
      </c>
      <c r="G67" t="str">
        <f t="shared" si="11"/>
        <v>KONTROL İÇİNDE</v>
      </c>
    </row>
    <row r="68" spans="1:7" x14ac:dyDescent="0.35">
      <c r="A68" s="21">
        <v>46136</v>
      </c>
      <c r="B68">
        <v>51</v>
      </c>
      <c r="C68">
        <v>0</v>
      </c>
      <c r="D68">
        <f t="shared" si="8"/>
        <v>0</v>
      </c>
      <c r="E68">
        <f t="shared" si="9"/>
        <v>0.30058401624353687</v>
      </c>
      <c r="F68">
        <f t="shared" si="10"/>
        <v>2.4361959669344513E-4</v>
      </c>
      <c r="G68" t="str">
        <f t="shared" si="11"/>
        <v xml:space="preserve"> KONTROL DIŞINDA</v>
      </c>
    </row>
    <row r="69" spans="1:7" x14ac:dyDescent="0.35">
      <c r="A69" s="21">
        <v>46139</v>
      </c>
      <c r="B69">
        <v>42</v>
      </c>
      <c r="C69">
        <v>2</v>
      </c>
      <c r="D69">
        <f t="shared" si="8"/>
        <v>4.7619047619047616E-2</v>
      </c>
      <c r="E69">
        <f t="shared" si="9"/>
        <v>0.31589331684379041</v>
      </c>
      <c r="F69">
        <f t="shared" si="10"/>
        <v>0</v>
      </c>
      <c r="G69" t="str">
        <f t="shared" si="11"/>
        <v>KONTROL İÇİNDE</v>
      </c>
    </row>
    <row r="70" spans="1:7" x14ac:dyDescent="0.35">
      <c r="A70" s="21">
        <v>46140</v>
      </c>
      <c r="B70">
        <v>72</v>
      </c>
      <c r="C70">
        <v>0</v>
      </c>
      <c r="D70">
        <f t="shared" si="8"/>
        <v>0</v>
      </c>
      <c r="E70">
        <f t="shared" si="9"/>
        <v>0.2768008728836327</v>
      </c>
      <c r="F70">
        <f t="shared" si="10"/>
        <v>2.4026762956597614E-2</v>
      </c>
      <c r="G70" t="str">
        <f t="shared" si="11"/>
        <v xml:space="preserve"> KONTROL DIŞINDA</v>
      </c>
    </row>
    <row r="71" spans="1:7" x14ac:dyDescent="0.35">
      <c r="A71" s="21">
        <v>46141</v>
      </c>
      <c r="B71">
        <v>9</v>
      </c>
      <c r="C71">
        <v>0</v>
      </c>
      <c r="D71">
        <f t="shared" si="8"/>
        <v>0</v>
      </c>
      <c r="E71">
        <f t="shared" si="9"/>
        <v>0.50789039239571565</v>
      </c>
      <c r="F71">
        <f t="shared" si="10"/>
        <v>0</v>
      </c>
      <c r="G71" t="str">
        <f t="shared" si="11"/>
        <v>KONTROL İÇİNDE</v>
      </c>
    </row>
    <row r="72" spans="1:7" x14ac:dyDescent="0.35">
      <c r="A72" s="21">
        <v>46142</v>
      </c>
      <c r="B72">
        <v>8</v>
      </c>
      <c r="C72">
        <v>0</v>
      </c>
      <c r="D72">
        <f t="shared" si="8"/>
        <v>0</v>
      </c>
      <c r="E72">
        <f t="shared" si="9"/>
        <v>0.52957498281066773</v>
      </c>
      <c r="F72">
        <f t="shared" si="10"/>
        <v>0</v>
      </c>
      <c r="G72" t="str">
        <f t="shared" si="11"/>
        <v>KONTROL İÇİNDE</v>
      </c>
    </row>
    <row r="73" spans="1:7" x14ac:dyDescent="0.35">
      <c r="A73" s="21">
        <v>46147</v>
      </c>
      <c r="B73">
        <v>1</v>
      </c>
      <c r="C73">
        <v>0</v>
      </c>
      <c r="D73">
        <f t="shared" si="8"/>
        <v>0</v>
      </c>
      <c r="E73">
        <f t="shared" si="9"/>
        <v>1.222843541346917</v>
      </c>
      <c r="F73">
        <f t="shared" si="10"/>
        <v>0</v>
      </c>
      <c r="G73" t="str">
        <f t="shared" si="11"/>
        <v>KONTROL İÇİNDE</v>
      </c>
    </row>
    <row r="74" spans="1:7" x14ac:dyDescent="0.35">
      <c r="A74" s="21">
        <v>46148</v>
      </c>
      <c r="B74">
        <v>5</v>
      </c>
      <c r="C74">
        <v>0</v>
      </c>
      <c r="D74">
        <f t="shared" si="8"/>
        <v>0</v>
      </c>
      <c r="E74">
        <f t="shared" si="9"/>
        <v>0.63001897045484068</v>
      </c>
      <c r="F74">
        <f t="shared" si="10"/>
        <v>0</v>
      </c>
      <c r="G74" t="str">
        <f t="shared" si="11"/>
        <v>KONTROL İÇİNDE</v>
      </c>
    </row>
    <row r="75" spans="1:7" x14ac:dyDescent="0.35">
      <c r="A75" s="21">
        <v>46149</v>
      </c>
      <c r="B75">
        <v>6</v>
      </c>
      <c r="C75">
        <v>0</v>
      </c>
      <c r="D75">
        <f t="shared" si="8"/>
        <v>0</v>
      </c>
      <c r="E75">
        <f t="shared" si="9"/>
        <v>0.58823141915174038</v>
      </c>
      <c r="F75">
        <f t="shared" si="10"/>
        <v>0</v>
      </c>
      <c r="G75" t="str">
        <f t="shared" si="11"/>
        <v>KONTROL İÇİNDE</v>
      </c>
    </row>
    <row r="76" spans="1:7" x14ac:dyDescent="0.35">
      <c r="A76" s="21">
        <v>46150</v>
      </c>
      <c r="B76">
        <v>2</v>
      </c>
      <c r="C76">
        <v>0</v>
      </c>
      <c r="D76">
        <f t="shared" si="8"/>
        <v>0</v>
      </c>
      <c r="E76">
        <f t="shared" si="9"/>
        <v>0.90873614770122035</v>
      </c>
      <c r="F76">
        <f t="shared" si="10"/>
        <v>0</v>
      </c>
      <c r="G76" t="str">
        <f t="shared" si="11"/>
        <v>KONTROL İÇİNDE</v>
      </c>
    </row>
    <row r="77" spans="1:7" x14ac:dyDescent="0.35">
      <c r="A77" s="21">
        <v>46153</v>
      </c>
      <c r="B77">
        <v>1</v>
      </c>
      <c r="C77">
        <v>0</v>
      </c>
      <c r="D77">
        <f t="shared" si="8"/>
        <v>0</v>
      </c>
      <c r="E77">
        <f t="shared" si="9"/>
        <v>1.222843541346917</v>
      </c>
      <c r="F77">
        <f t="shared" si="10"/>
        <v>0</v>
      </c>
      <c r="G77" t="str">
        <f t="shared" si="11"/>
        <v>KONTROL İÇİNDE</v>
      </c>
    </row>
    <row r="78" spans="1:7" x14ac:dyDescent="0.35">
      <c r="A78" s="21">
        <v>46156</v>
      </c>
      <c r="B78">
        <v>70</v>
      </c>
      <c r="C78">
        <v>0</v>
      </c>
      <c r="D78">
        <f t="shared" si="8"/>
        <v>0</v>
      </c>
      <c r="E78">
        <f t="shared" si="9"/>
        <v>0.27859368661414363</v>
      </c>
      <c r="F78">
        <f t="shared" si="10"/>
        <v>2.223394922608668E-2</v>
      </c>
      <c r="G78" t="str">
        <f t="shared" si="11"/>
        <v xml:space="preserve"> KONTROL DIŞINDA</v>
      </c>
    </row>
    <row r="79" spans="1:7" x14ac:dyDescent="0.35">
      <c r="A79" s="21">
        <v>46160</v>
      </c>
      <c r="B79">
        <v>3</v>
      </c>
      <c r="C79">
        <v>0</v>
      </c>
      <c r="D79">
        <f t="shared" si="8"/>
        <v>0</v>
      </c>
      <c r="E79">
        <f t="shared" si="9"/>
        <v>0.76958140742753511</v>
      </c>
      <c r="F79">
        <f t="shared" si="10"/>
        <v>0</v>
      </c>
      <c r="G79" t="str">
        <f t="shared" si="11"/>
        <v>KONTROL İÇİNDE</v>
      </c>
    </row>
    <row r="80" spans="1:7" x14ac:dyDescent="0.35">
      <c r="A80" s="21">
        <v>46163</v>
      </c>
      <c r="B80">
        <v>2</v>
      </c>
      <c r="C80">
        <v>0</v>
      </c>
      <c r="D80">
        <f t="shared" si="8"/>
        <v>0</v>
      </c>
      <c r="E80">
        <f t="shared" si="9"/>
        <v>0.90873614770122035</v>
      </c>
      <c r="F80">
        <f t="shared" si="10"/>
        <v>0</v>
      </c>
      <c r="G80" t="str">
        <f t="shared" si="11"/>
        <v>KONTROL İÇİNDE</v>
      </c>
    </row>
    <row r="81" spans="1:7" x14ac:dyDescent="0.35">
      <c r="A81" s="21">
        <v>46176</v>
      </c>
      <c r="B81">
        <v>8</v>
      </c>
      <c r="C81">
        <v>0</v>
      </c>
      <c r="D81">
        <f t="shared" si="8"/>
        <v>0</v>
      </c>
      <c r="E81">
        <f t="shared" si="9"/>
        <v>0.52957498281066773</v>
      </c>
      <c r="F81">
        <f t="shared" si="10"/>
        <v>0</v>
      </c>
      <c r="G81" t="str">
        <f t="shared" si="11"/>
        <v>KONTROL İÇİNDE</v>
      </c>
    </row>
    <row r="82" spans="1:7" x14ac:dyDescent="0.35">
      <c r="A82" s="21">
        <v>46177</v>
      </c>
      <c r="B82">
        <v>18</v>
      </c>
      <c r="C82">
        <v>0</v>
      </c>
      <c r="D82">
        <f t="shared" si="8"/>
        <v>0</v>
      </c>
      <c r="E82">
        <f t="shared" si="9"/>
        <v>0.40318792784715024</v>
      </c>
      <c r="F82">
        <f t="shared" si="10"/>
        <v>0</v>
      </c>
      <c r="G82" t="str">
        <f t="shared" si="11"/>
        <v>KONTROL İÇİNDE</v>
      </c>
    </row>
    <row r="83" spans="1:7" x14ac:dyDescent="0.35">
      <c r="A83" s="21">
        <v>46178</v>
      </c>
      <c r="B83">
        <v>6</v>
      </c>
      <c r="C83">
        <v>0</v>
      </c>
      <c r="D83">
        <f t="shared" si="8"/>
        <v>0</v>
      </c>
      <c r="E83">
        <f t="shared" si="9"/>
        <v>0.58823141915174038</v>
      </c>
      <c r="F83">
        <f t="shared" si="10"/>
        <v>0</v>
      </c>
      <c r="G83" t="str">
        <f t="shared" si="11"/>
        <v>KONTROL İÇİNDE</v>
      </c>
    </row>
    <row r="84" spans="1:7" x14ac:dyDescent="0.35">
      <c r="A84" s="21">
        <v>46181</v>
      </c>
      <c r="B84">
        <v>35</v>
      </c>
      <c r="C84">
        <v>0</v>
      </c>
      <c r="D84">
        <f t="shared" si="8"/>
        <v>0</v>
      </c>
      <c r="E84">
        <f t="shared" si="9"/>
        <v>0.33168752665041273</v>
      </c>
      <c r="F84">
        <f t="shared" si="10"/>
        <v>0</v>
      </c>
      <c r="G84" t="str">
        <f t="shared" si="11"/>
        <v>KONTROL İÇİNDE</v>
      </c>
    </row>
    <row r="85" spans="1:7" x14ac:dyDescent="0.35">
      <c r="A85" s="21">
        <v>46182</v>
      </c>
      <c r="B85">
        <v>13</v>
      </c>
      <c r="C85">
        <v>0</v>
      </c>
      <c r="D85">
        <f t="shared" si="8"/>
        <v>0</v>
      </c>
      <c r="E85">
        <f t="shared" si="9"/>
        <v>0.44785230693142269</v>
      </c>
      <c r="F85">
        <f t="shared" si="10"/>
        <v>0</v>
      </c>
      <c r="G85" t="str">
        <f t="shared" si="11"/>
        <v>KONTROL İÇİNDE</v>
      </c>
    </row>
    <row r="86" spans="1:7" x14ac:dyDescent="0.35">
      <c r="A86" s="21">
        <v>46183</v>
      </c>
      <c r="B86">
        <v>67</v>
      </c>
      <c r="C86">
        <v>0</v>
      </c>
      <c r="D86">
        <f t="shared" si="8"/>
        <v>0</v>
      </c>
      <c r="E86">
        <f t="shared" si="9"/>
        <v>0.2814319613423536</v>
      </c>
      <c r="F86">
        <f t="shared" si="10"/>
        <v>1.9395674497876714E-2</v>
      </c>
      <c r="G86" t="str">
        <f t="shared" si="11"/>
        <v xml:space="preserve"> KONTROL DIŞINDA</v>
      </c>
    </row>
    <row r="87" spans="1:7" x14ac:dyDescent="0.35">
      <c r="A87" s="21">
        <v>46184</v>
      </c>
      <c r="B87">
        <v>147</v>
      </c>
      <c r="C87">
        <v>0</v>
      </c>
      <c r="D87">
        <f t="shared" si="8"/>
        <v>0</v>
      </c>
      <c r="E87">
        <f t="shared" si="9"/>
        <v>0.23886633070688942</v>
      </c>
      <c r="F87">
        <f t="shared" si="10"/>
        <v>6.1961305133340888E-2</v>
      </c>
      <c r="G87" t="str">
        <f t="shared" si="11"/>
        <v xml:space="preserve"> KONTROL DIŞINDA</v>
      </c>
    </row>
    <row r="88" spans="1:7" x14ac:dyDescent="0.35">
      <c r="A88" s="21">
        <v>46185</v>
      </c>
      <c r="B88">
        <v>4</v>
      </c>
      <c r="C88">
        <v>0</v>
      </c>
      <c r="D88">
        <f t="shared" si="8"/>
        <v>0</v>
      </c>
      <c r="E88">
        <f t="shared" si="9"/>
        <v>0.68662867963351615</v>
      </c>
      <c r="F88">
        <f t="shared" si="10"/>
        <v>0</v>
      </c>
      <c r="G88" t="str">
        <f t="shared" si="11"/>
        <v>KONTROL İÇİNDE</v>
      </c>
    </row>
    <row r="89" spans="1:7" x14ac:dyDescent="0.35">
      <c r="A89" s="21">
        <v>46186</v>
      </c>
      <c r="B89">
        <v>15</v>
      </c>
      <c r="C89">
        <v>5</v>
      </c>
      <c r="D89">
        <f t="shared" si="8"/>
        <v>0.33333333333333331</v>
      </c>
      <c r="E89">
        <f t="shared" si="9"/>
        <v>0.42731398184077046</v>
      </c>
      <c r="F89">
        <f t="shared" si="10"/>
        <v>0</v>
      </c>
      <c r="G89" t="str">
        <f t="shared" si="11"/>
        <v>KONTROL İÇİNDE</v>
      </c>
    </row>
    <row r="90" spans="1:7" x14ac:dyDescent="0.35">
      <c r="A90" s="21">
        <v>46188</v>
      </c>
      <c r="B90">
        <v>5</v>
      </c>
      <c r="C90">
        <v>0</v>
      </c>
      <c r="D90">
        <f t="shared" si="8"/>
        <v>0</v>
      </c>
      <c r="E90">
        <f t="shared" si="9"/>
        <v>0.63001897045484068</v>
      </c>
      <c r="F90">
        <f t="shared" si="10"/>
        <v>0</v>
      </c>
      <c r="G90" t="str">
        <f t="shared" si="11"/>
        <v>KONTROL İÇİNDE</v>
      </c>
    </row>
    <row r="91" spans="1:7" x14ac:dyDescent="0.35">
      <c r="A91" s="21">
        <v>46189</v>
      </c>
      <c r="B91">
        <v>19</v>
      </c>
      <c r="C91">
        <v>0</v>
      </c>
      <c r="D91">
        <f t="shared" si="8"/>
        <v>0</v>
      </c>
      <c r="E91">
        <f t="shared" si="9"/>
        <v>0.39644606994467846</v>
      </c>
      <c r="F91">
        <f t="shared" si="10"/>
        <v>0</v>
      </c>
      <c r="G91" t="str">
        <f t="shared" si="11"/>
        <v>KONTROL İÇİNDE</v>
      </c>
    </row>
    <row r="92" spans="1:7" x14ac:dyDescent="0.35">
      <c r="A92" s="21">
        <v>46190</v>
      </c>
      <c r="B92">
        <v>9</v>
      </c>
      <c r="C92">
        <v>0</v>
      </c>
      <c r="D92">
        <f t="shared" si="8"/>
        <v>0</v>
      </c>
      <c r="E92">
        <f t="shared" si="9"/>
        <v>0.50789039239571565</v>
      </c>
      <c r="F92">
        <f t="shared" si="10"/>
        <v>0</v>
      </c>
      <c r="G92" t="str">
        <f t="shared" si="11"/>
        <v>KONTROL İÇİNDE</v>
      </c>
    </row>
    <row r="93" spans="1:7" x14ac:dyDescent="0.35">
      <c r="A93" s="21">
        <v>46191</v>
      </c>
      <c r="B93">
        <v>11</v>
      </c>
      <c r="C93">
        <v>1</v>
      </c>
      <c r="D93">
        <f t="shared" si="8"/>
        <v>9.0909090909090912E-2</v>
      </c>
      <c r="E93">
        <f t="shared" si="9"/>
        <v>0.4737635457956893</v>
      </c>
      <c r="F93">
        <f t="shared" si="10"/>
        <v>0</v>
      </c>
      <c r="G93" t="str">
        <f t="shared" si="11"/>
        <v>KONTROL İÇİNDE</v>
      </c>
    </row>
    <row r="94" spans="1:7" x14ac:dyDescent="0.35">
      <c r="A94" s="21">
        <v>46192</v>
      </c>
      <c r="B94">
        <v>55</v>
      </c>
      <c r="C94">
        <v>2</v>
      </c>
      <c r="D94">
        <f t="shared" si="8"/>
        <v>3.6363636363636362E-2</v>
      </c>
      <c r="E94">
        <f t="shared" si="9"/>
        <v>0.2950202123272837</v>
      </c>
      <c r="F94">
        <f t="shared" si="10"/>
        <v>5.8074235129466356E-3</v>
      </c>
      <c r="G94" t="str">
        <f t="shared" si="11"/>
        <v>KONTROL İÇİNDE</v>
      </c>
    </row>
    <row r="95" spans="1:7" x14ac:dyDescent="0.35">
      <c r="A95" s="21">
        <v>46195</v>
      </c>
      <c r="B95">
        <v>5</v>
      </c>
      <c r="C95">
        <v>2</v>
      </c>
      <c r="D95">
        <f t="shared" si="8"/>
        <v>0.4</v>
      </c>
      <c r="E95">
        <f t="shared" si="9"/>
        <v>0.63001897045484068</v>
      </c>
      <c r="F95">
        <f t="shared" si="10"/>
        <v>0</v>
      </c>
      <c r="G95" t="str">
        <f t="shared" si="11"/>
        <v>KONTROL İÇİNDE</v>
      </c>
    </row>
    <row r="96" spans="1:7" x14ac:dyDescent="0.35">
      <c r="A96" s="21">
        <v>46196</v>
      </c>
      <c r="B96">
        <v>68</v>
      </c>
      <c r="C96">
        <v>0</v>
      </c>
      <c r="D96">
        <f t="shared" si="8"/>
        <v>0</v>
      </c>
      <c r="E96">
        <f t="shared" si="9"/>
        <v>0.28046502455954569</v>
      </c>
      <c r="F96">
        <f t="shared" si="10"/>
        <v>2.0362611280684617E-2</v>
      </c>
      <c r="G96" t="str">
        <f t="shared" si="11"/>
        <v xml:space="preserve"> KONTROL DIŞINDA</v>
      </c>
    </row>
    <row r="97" spans="1:7" x14ac:dyDescent="0.35">
      <c r="A97" s="21">
        <v>46197</v>
      </c>
      <c r="B97">
        <v>12</v>
      </c>
      <c r="C97">
        <v>0</v>
      </c>
      <c r="D97">
        <f t="shared" si="8"/>
        <v>0</v>
      </c>
      <c r="E97">
        <f t="shared" si="9"/>
        <v>0.45999761267382511</v>
      </c>
      <c r="F97">
        <f t="shared" si="10"/>
        <v>0</v>
      </c>
      <c r="G97" t="str">
        <f t="shared" si="11"/>
        <v>KONTROL İÇİNDE</v>
      </c>
    </row>
    <row r="98" spans="1:7" x14ac:dyDescent="0.35">
      <c r="A98" s="21">
        <v>46198</v>
      </c>
      <c r="B98">
        <v>47</v>
      </c>
      <c r="C98">
        <v>0</v>
      </c>
      <c r="D98">
        <f t="shared" ref="D98:D129" si="12">C98/B98</f>
        <v>0</v>
      </c>
      <c r="E98">
        <f t="shared" ref="E98:E129" si="13">$D$149+3*SQRT($D$149*(1-$D$149)/B98)</f>
        <v>0.306843770409855</v>
      </c>
      <c r="F98">
        <f t="shared" ref="F98:F129" si="14">MAX(0,$D$149-3*SQRT($D$149*(1-$D$149)/B98))</f>
        <v>0</v>
      </c>
      <c r="G98" t="str">
        <f t="shared" ref="G98:G129" si="15">IF(AND(D98&lt;=E98,D98&gt;=F98),"KONTROL İÇİNDE"," KONTROL DIŞINDA")</f>
        <v>KONTROL İÇİNDE</v>
      </c>
    </row>
    <row r="99" spans="1:7" x14ac:dyDescent="0.35">
      <c r="A99" s="21">
        <v>46199</v>
      </c>
      <c r="B99">
        <v>3</v>
      </c>
      <c r="C99">
        <v>0</v>
      </c>
      <c r="D99">
        <f t="shared" si="12"/>
        <v>0</v>
      </c>
      <c r="E99">
        <f t="shared" si="13"/>
        <v>0.76958140742753511</v>
      </c>
      <c r="F99">
        <f t="shared" si="14"/>
        <v>0</v>
      </c>
      <c r="G99" t="str">
        <f t="shared" si="15"/>
        <v>KONTROL İÇİNDE</v>
      </c>
    </row>
    <row r="100" spans="1:7" x14ac:dyDescent="0.35">
      <c r="A100" s="21">
        <v>46203</v>
      </c>
      <c r="B100">
        <v>12</v>
      </c>
      <c r="C100">
        <v>0</v>
      </c>
      <c r="D100">
        <f t="shared" si="12"/>
        <v>0</v>
      </c>
      <c r="E100">
        <f t="shared" si="13"/>
        <v>0.45999761267382511</v>
      </c>
      <c r="F100">
        <f t="shared" si="14"/>
        <v>0</v>
      </c>
      <c r="G100" t="str">
        <f t="shared" si="15"/>
        <v>KONTROL İÇİNDE</v>
      </c>
    </row>
    <row r="101" spans="1:7" x14ac:dyDescent="0.35">
      <c r="A101" s="21">
        <v>46205</v>
      </c>
      <c r="B101">
        <v>16</v>
      </c>
      <c r="C101">
        <v>0</v>
      </c>
      <c r="D101">
        <f t="shared" si="12"/>
        <v>0</v>
      </c>
      <c r="E101">
        <f t="shared" si="13"/>
        <v>0.41852124877681562</v>
      </c>
      <c r="F101">
        <f t="shared" si="14"/>
        <v>0</v>
      </c>
      <c r="G101" t="str">
        <f t="shared" si="15"/>
        <v>KONTROL İÇİNDE</v>
      </c>
    </row>
    <row r="102" spans="1:7" x14ac:dyDescent="0.35">
      <c r="A102" s="21">
        <v>46206</v>
      </c>
      <c r="B102">
        <v>27</v>
      </c>
      <c r="C102">
        <v>0</v>
      </c>
      <c r="D102">
        <f t="shared" si="12"/>
        <v>0</v>
      </c>
      <c r="E102">
        <f t="shared" si="13"/>
        <v>0.35680301442258844</v>
      </c>
      <c r="F102">
        <f t="shared" si="14"/>
        <v>0</v>
      </c>
      <c r="G102" t="str">
        <f t="shared" si="15"/>
        <v>KONTROL İÇİNDE</v>
      </c>
    </row>
    <row r="103" spans="1:7" x14ac:dyDescent="0.35">
      <c r="A103" s="21">
        <v>46207</v>
      </c>
      <c r="B103">
        <v>224</v>
      </c>
      <c r="C103">
        <v>0</v>
      </c>
      <c r="D103">
        <f t="shared" si="12"/>
        <v>0</v>
      </c>
      <c r="E103">
        <f t="shared" si="13"/>
        <v>0.22206854285682637</v>
      </c>
      <c r="F103">
        <f t="shared" si="14"/>
        <v>7.8759092983403944E-2</v>
      </c>
      <c r="G103" t="str">
        <f t="shared" si="15"/>
        <v xml:space="preserve"> KONTROL DIŞINDA</v>
      </c>
    </row>
    <row r="104" spans="1:7" x14ac:dyDescent="0.35">
      <c r="A104" s="21">
        <v>46209</v>
      </c>
      <c r="B104">
        <v>44</v>
      </c>
      <c r="C104">
        <v>13</v>
      </c>
      <c r="D104">
        <f t="shared" si="12"/>
        <v>0.29545454545454547</v>
      </c>
      <c r="E104">
        <f t="shared" si="13"/>
        <v>0.31208868185790223</v>
      </c>
      <c r="F104">
        <f t="shared" si="14"/>
        <v>0</v>
      </c>
      <c r="G104" t="str">
        <f t="shared" si="15"/>
        <v>KONTROL İÇİNDE</v>
      </c>
    </row>
    <row r="105" spans="1:7" x14ac:dyDescent="0.35">
      <c r="A105" s="21">
        <v>46210</v>
      </c>
      <c r="B105">
        <v>11</v>
      </c>
      <c r="C105">
        <v>0</v>
      </c>
      <c r="D105">
        <f t="shared" si="12"/>
        <v>0</v>
      </c>
      <c r="E105">
        <f t="shared" si="13"/>
        <v>0.4737635457956893</v>
      </c>
      <c r="F105">
        <f t="shared" si="14"/>
        <v>0</v>
      </c>
      <c r="G105" t="str">
        <f t="shared" si="15"/>
        <v>KONTROL İÇİNDE</v>
      </c>
    </row>
    <row r="106" spans="1:7" x14ac:dyDescent="0.35">
      <c r="A106" s="21">
        <v>46211</v>
      </c>
      <c r="B106">
        <v>60</v>
      </c>
      <c r="C106">
        <v>0</v>
      </c>
      <c r="D106">
        <f t="shared" si="12"/>
        <v>0</v>
      </c>
      <c r="E106">
        <f t="shared" si="13"/>
        <v>0.28886389988044281</v>
      </c>
      <c r="F106">
        <f t="shared" si="14"/>
        <v>1.1963735959787503E-2</v>
      </c>
      <c r="G106" t="str">
        <f t="shared" si="15"/>
        <v xml:space="preserve"> KONTROL DIŞINDA</v>
      </c>
    </row>
    <row r="107" spans="1:7" x14ac:dyDescent="0.35">
      <c r="A107" s="21">
        <v>46212</v>
      </c>
      <c r="B107">
        <v>41</v>
      </c>
      <c r="C107">
        <v>0</v>
      </c>
      <c r="D107">
        <f t="shared" si="12"/>
        <v>0</v>
      </c>
      <c r="E107">
        <f t="shared" si="13"/>
        <v>0.31789920218883616</v>
      </c>
      <c r="F107">
        <f t="shared" si="14"/>
        <v>0</v>
      </c>
      <c r="G107" t="str">
        <f t="shared" si="15"/>
        <v>KONTROL İÇİNDE</v>
      </c>
    </row>
    <row r="108" spans="1:7" x14ac:dyDescent="0.35">
      <c r="A108" s="21">
        <v>46213</v>
      </c>
      <c r="B108">
        <v>4</v>
      </c>
      <c r="C108">
        <v>0</v>
      </c>
      <c r="D108">
        <f t="shared" si="12"/>
        <v>0</v>
      </c>
      <c r="E108">
        <f t="shared" si="13"/>
        <v>0.68662867963351615</v>
      </c>
      <c r="F108">
        <f t="shared" si="14"/>
        <v>0</v>
      </c>
      <c r="G108" t="str">
        <f t="shared" si="15"/>
        <v>KONTROL İÇİNDE</v>
      </c>
    </row>
    <row r="109" spans="1:7" x14ac:dyDescent="0.35">
      <c r="A109" s="21">
        <v>46216</v>
      </c>
      <c r="B109">
        <v>3</v>
      </c>
      <c r="C109">
        <v>0</v>
      </c>
      <c r="D109">
        <f t="shared" si="12"/>
        <v>0</v>
      </c>
      <c r="E109">
        <f t="shared" si="13"/>
        <v>0.76958140742753511</v>
      </c>
      <c r="F109">
        <f t="shared" si="14"/>
        <v>0</v>
      </c>
      <c r="G109" t="str">
        <f t="shared" si="15"/>
        <v>KONTROL İÇİNDE</v>
      </c>
    </row>
    <row r="110" spans="1:7" x14ac:dyDescent="0.35">
      <c r="A110" s="21">
        <v>46217</v>
      </c>
      <c r="B110">
        <v>8</v>
      </c>
      <c r="C110">
        <v>0</v>
      </c>
      <c r="D110">
        <f t="shared" si="12"/>
        <v>0</v>
      </c>
      <c r="E110">
        <f t="shared" si="13"/>
        <v>0.52957498281066773</v>
      </c>
      <c r="F110">
        <f t="shared" si="14"/>
        <v>0</v>
      </c>
      <c r="G110" t="str">
        <f t="shared" si="15"/>
        <v>KONTROL İÇİNDE</v>
      </c>
    </row>
    <row r="111" spans="1:7" x14ac:dyDescent="0.35">
      <c r="A111" s="21">
        <v>46219</v>
      </c>
      <c r="B111">
        <v>40</v>
      </c>
      <c r="C111">
        <v>0</v>
      </c>
      <c r="D111">
        <f t="shared" si="12"/>
        <v>0</v>
      </c>
      <c r="E111">
        <f t="shared" si="13"/>
        <v>0.31997984574477156</v>
      </c>
      <c r="F111">
        <f t="shared" si="14"/>
        <v>0</v>
      </c>
      <c r="G111" t="str">
        <f t="shared" si="15"/>
        <v>KONTROL İÇİNDE</v>
      </c>
    </row>
    <row r="112" spans="1:7" x14ac:dyDescent="0.35">
      <c r="A112" s="21">
        <v>46220</v>
      </c>
      <c r="B112">
        <v>9</v>
      </c>
      <c r="C112">
        <v>0</v>
      </c>
      <c r="D112">
        <f t="shared" si="12"/>
        <v>0</v>
      </c>
      <c r="E112">
        <f t="shared" si="13"/>
        <v>0.50789039239571565</v>
      </c>
      <c r="F112">
        <f t="shared" si="14"/>
        <v>0</v>
      </c>
      <c r="G112" t="str">
        <f t="shared" si="15"/>
        <v>KONTROL İÇİNDE</v>
      </c>
    </row>
    <row r="113" spans="1:7" x14ac:dyDescent="0.35">
      <c r="A113" s="21">
        <v>46221</v>
      </c>
      <c r="B113">
        <v>3</v>
      </c>
      <c r="C113">
        <v>0</v>
      </c>
      <c r="D113">
        <f t="shared" si="12"/>
        <v>0</v>
      </c>
      <c r="E113">
        <f t="shared" si="13"/>
        <v>0.76958140742753511</v>
      </c>
      <c r="F113">
        <f t="shared" si="14"/>
        <v>0</v>
      </c>
      <c r="G113" t="str">
        <f t="shared" si="15"/>
        <v>KONTROL İÇİNDE</v>
      </c>
    </row>
    <row r="114" spans="1:7" x14ac:dyDescent="0.35">
      <c r="A114" s="21">
        <v>46223</v>
      </c>
      <c r="B114">
        <v>42</v>
      </c>
      <c r="C114">
        <v>0</v>
      </c>
      <c r="D114">
        <f t="shared" si="12"/>
        <v>0</v>
      </c>
      <c r="E114">
        <f t="shared" si="13"/>
        <v>0.31589331684379041</v>
      </c>
      <c r="F114">
        <f t="shared" si="14"/>
        <v>0</v>
      </c>
      <c r="G114" t="str">
        <f t="shared" si="15"/>
        <v>KONTROL İÇİNDE</v>
      </c>
    </row>
    <row r="115" spans="1:7" x14ac:dyDescent="0.35">
      <c r="A115" s="21">
        <v>46224</v>
      </c>
      <c r="B115">
        <v>172</v>
      </c>
      <c r="C115">
        <v>0</v>
      </c>
      <c r="D115">
        <f t="shared" si="12"/>
        <v>0</v>
      </c>
      <c r="E115">
        <f t="shared" si="13"/>
        <v>0.2321858177225041</v>
      </c>
      <c r="F115">
        <f t="shared" si="14"/>
        <v>6.8641818117726211E-2</v>
      </c>
      <c r="G115" t="str">
        <f t="shared" si="15"/>
        <v xml:space="preserve"> KONTROL DIŞINDA</v>
      </c>
    </row>
    <row r="116" spans="1:7" x14ac:dyDescent="0.35">
      <c r="A116" s="21">
        <v>46225</v>
      </c>
      <c r="B116">
        <v>4</v>
      </c>
      <c r="C116">
        <v>0</v>
      </c>
      <c r="D116">
        <f t="shared" si="12"/>
        <v>0</v>
      </c>
      <c r="E116">
        <f t="shared" si="13"/>
        <v>0.68662867963351615</v>
      </c>
      <c r="F116">
        <f t="shared" si="14"/>
        <v>0</v>
      </c>
      <c r="G116" t="str">
        <f t="shared" si="15"/>
        <v>KONTROL İÇİNDE</v>
      </c>
    </row>
    <row r="117" spans="1:7" x14ac:dyDescent="0.35">
      <c r="A117" s="21">
        <v>46226</v>
      </c>
      <c r="B117">
        <v>24</v>
      </c>
      <c r="C117">
        <v>0</v>
      </c>
      <c r="D117">
        <f t="shared" si="12"/>
        <v>0</v>
      </c>
      <c r="E117">
        <f t="shared" si="13"/>
        <v>0.36932261853592779</v>
      </c>
      <c r="F117">
        <f t="shared" si="14"/>
        <v>0</v>
      </c>
      <c r="G117" t="str">
        <f t="shared" si="15"/>
        <v>KONTROL İÇİNDE</v>
      </c>
    </row>
    <row r="118" spans="1:7" x14ac:dyDescent="0.35">
      <c r="A118" s="21">
        <v>46227</v>
      </c>
      <c r="B118">
        <v>22</v>
      </c>
      <c r="C118">
        <v>0</v>
      </c>
      <c r="D118">
        <f t="shared" si="12"/>
        <v>0</v>
      </c>
      <c r="E118">
        <f t="shared" si="13"/>
        <v>0.37905660319575846</v>
      </c>
      <c r="F118">
        <f t="shared" si="14"/>
        <v>0</v>
      </c>
      <c r="G118" t="str">
        <f t="shared" si="15"/>
        <v>KONTROL İÇİNDE</v>
      </c>
    </row>
    <row r="119" spans="1:7" x14ac:dyDescent="0.35">
      <c r="A119" s="21">
        <v>46228</v>
      </c>
      <c r="B119">
        <v>2</v>
      </c>
      <c r="C119">
        <v>0</v>
      </c>
      <c r="D119">
        <f t="shared" si="12"/>
        <v>0</v>
      </c>
      <c r="E119">
        <f t="shared" si="13"/>
        <v>0.90873614770122035</v>
      </c>
      <c r="F119">
        <f t="shared" si="14"/>
        <v>0</v>
      </c>
      <c r="G119" t="str">
        <f t="shared" si="15"/>
        <v>KONTROL İÇİNDE</v>
      </c>
    </row>
    <row r="120" spans="1:7" x14ac:dyDescent="0.35">
      <c r="A120" s="21">
        <v>46229</v>
      </c>
      <c r="B120">
        <v>1</v>
      </c>
      <c r="C120">
        <v>0</v>
      </c>
      <c r="D120">
        <f t="shared" si="12"/>
        <v>0</v>
      </c>
      <c r="E120">
        <f t="shared" si="13"/>
        <v>1.222843541346917</v>
      </c>
      <c r="F120">
        <f t="shared" si="14"/>
        <v>0</v>
      </c>
      <c r="G120" t="str">
        <f t="shared" si="15"/>
        <v>KONTROL İÇİNDE</v>
      </c>
    </row>
    <row r="121" spans="1:7" x14ac:dyDescent="0.35">
      <c r="A121" s="21">
        <v>46230</v>
      </c>
      <c r="B121">
        <v>30</v>
      </c>
      <c r="C121">
        <v>0</v>
      </c>
      <c r="D121">
        <f t="shared" si="12"/>
        <v>0</v>
      </c>
      <c r="E121">
        <f t="shared" si="13"/>
        <v>0.34621180154007708</v>
      </c>
      <c r="F121">
        <f t="shared" si="14"/>
        <v>0</v>
      </c>
      <c r="G121" t="str">
        <f t="shared" si="15"/>
        <v>KONTROL İÇİNDE</v>
      </c>
    </row>
    <row r="122" spans="1:7" x14ac:dyDescent="0.35">
      <c r="A122" s="21">
        <v>46231</v>
      </c>
      <c r="B122">
        <v>7</v>
      </c>
      <c r="C122">
        <v>0</v>
      </c>
      <c r="D122">
        <f t="shared" si="12"/>
        <v>0</v>
      </c>
      <c r="E122">
        <f t="shared" si="13"/>
        <v>0.55575415317455756</v>
      </c>
      <c r="F122">
        <f t="shared" si="14"/>
        <v>0</v>
      </c>
      <c r="G122" t="str">
        <f t="shared" si="15"/>
        <v>KONTROL İÇİNDE</v>
      </c>
    </row>
    <row r="123" spans="1:7" x14ac:dyDescent="0.35">
      <c r="A123" s="21">
        <v>46232</v>
      </c>
      <c r="B123">
        <v>20</v>
      </c>
      <c r="C123">
        <v>0</v>
      </c>
      <c r="D123">
        <f t="shared" si="12"/>
        <v>0</v>
      </c>
      <c r="E123">
        <f t="shared" si="13"/>
        <v>0.39021639418747789</v>
      </c>
      <c r="F123">
        <f t="shared" si="14"/>
        <v>0</v>
      </c>
      <c r="G123" t="str">
        <f t="shared" si="15"/>
        <v>KONTROL İÇİNDE</v>
      </c>
    </row>
    <row r="124" spans="1:7" x14ac:dyDescent="0.35">
      <c r="A124" s="21">
        <v>46233</v>
      </c>
      <c r="B124">
        <v>20</v>
      </c>
      <c r="C124">
        <v>0</v>
      </c>
      <c r="D124">
        <f t="shared" si="12"/>
        <v>0</v>
      </c>
      <c r="E124">
        <f t="shared" si="13"/>
        <v>0.39021639418747789</v>
      </c>
      <c r="F124">
        <f t="shared" si="14"/>
        <v>0</v>
      </c>
      <c r="G124" t="str">
        <f t="shared" si="15"/>
        <v>KONTROL İÇİNDE</v>
      </c>
    </row>
    <row r="125" spans="1:7" x14ac:dyDescent="0.35">
      <c r="A125" s="21">
        <v>46234</v>
      </c>
      <c r="B125">
        <v>36</v>
      </c>
      <c r="C125">
        <v>0</v>
      </c>
      <c r="D125">
        <f t="shared" si="12"/>
        <v>0</v>
      </c>
      <c r="E125">
        <f t="shared" si="13"/>
        <v>0.32915210515791543</v>
      </c>
      <c r="F125">
        <f t="shared" si="14"/>
        <v>0</v>
      </c>
      <c r="G125" t="str">
        <f t="shared" si="15"/>
        <v>KONTROL İÇİNDE</v>
      </c>
    </row>
    <row r="126" spans="1:7" x14ac:dyDescent="0.35">
      <c r="A126" s="21">
        <v>46237</v>
      </c>
      <c r="B126">
        <v>4</v>
      </c>
      <c r="C126">
        <v>0</v>
      </c>
      <c r="D126">
        <f t="shared" si="12"/>
        <v>0</v>
      </c>
      <c r="E126">
        <f t="shared" si="13"/>
        <v>0.68662867963351615</v>
      </c>
      <c r="F126">
        <f t="shared" si="14"/>
        <v>0</v>
      </c>
      <c r="G126" t="str">
        <f t="shared" si="15"/>
        <v>KONTROL İÇİNDE</v>
      </c>
    </row>
    <row r="127" spans="1:7" x14ac:dyDescent="0.35">
      <c r="A127" s="21">
        <v>46238</v>
      </c>
      <c r="B127">
        <v>8</v>
      </c>
      <c r="C127">
        <v>0</v>
      </c>
      <c r="D127">
        <f t="shared" si="12"/>
        <v>0</v>
      </c>
      <c r="E127">
        <f t="shared" si="13"/>
        <v>0.52957498281066773</v>
      </c>
      <c r="F127">
        <f t="shared" si="14"/>
        <v>0</v>
      </c>
      <c r="G127" t="str">
        <f t="shared" si="15"/>
        <v>KONTROL İÇİNDE</v>
      </c>
    </row>
    <row r="128" spans="1:7" x14ac:dyDescent="0.35">
      <c r="A128" s="21">
        <v>46239</v>
      </c>
      <c r="B128">
        <v>168</v>
      </c>
      <c r="C128">
        <v>0</v>
      </c>
      <c r="D128">
        <f t="shared" si="12"/>
        <v>0</v>
      </c>
      <c r="E128">
        <f t="shared" si="13"/>
        <v>0.23315356738195278</v>
      </c>
      <c r="F128">
        <f t="shared" si="14"/>
        <v>6.7674068458277531E-2</v>
      </c>
      <c r="G128" t="str">
        <f t="shared" si="15"/>
        <v xml:space="preserve"> KONTROL DIŞINDA</v>
      </c>
    </row>
    <row r="129" spans="1:7" x14ac:dyDescent="0.35">
      <c r="A129" s="21">
        <v>46240</v>
      </c>
      <c r="B129">
        <v>73</v>
      </c>
      <c r="C129">
        <v>0</v>
      </c>
      <c r="D129">
        <f t="shared" si="12"/>
        <v>0</v>
      </c>
      <c r="E129">
        <f t="shared" si="13"/>
        <v>0.27593222303721709</v>
      </c>
      <c r="F129">
        <f t="shared" si="14"/>
        <v>2.4895412803013245E-2</v>
      </c>
      <c r="G129" t="str">
        <f t="shared" si="15"/>
        <v xml:space="preserve"> KONTROL DIŞINDA</v>
      </c>
    </row>
    <row r="130" spans="1:7" x14ac:dyDescent="0.35">
      <c r="A130" s="21">
        <v>46241</v>
      </c>
      <c r="B130">
        <v>34</v>
      </c>
      <c r="C130">
        <v>0</v>
      </c>
      <c r="D130">
        <f t="shared" ref="D130:D149" si="16">C130/B130</f>
        <v>0</v>
      </c>
      <c r="E130">
        <f t="shared" ref="E130:E148" si="17">$D$149+3*SQRT($D$149*(1-$D$149)/B130)</f>
        <v>0.33433399815258374</v>
      </c>
      <c r="F130">
        <f t="shared" ref="F130:F148" si="18">MAX(0,$D$149-3*SQRT($D$149*(1-$D$149)/B130))</f>
        <v>0</v>
      </c>
      <c r="G130" t="str">
        <f t="shared" ref="G130:G148" si="19">IF(AND(D130&lt;=E130,D130&gt;=F130),"KONTROL İÇİNDE"," KONTROL DIŞINDA")</f>
        <v>KONTROL İÇİNDE</v>
      </c>
    </row>
    <row r="131" spans="1:7" x14ac:dyDescent="0.35">
      <c r="A131" s="21">
        <v>46242</v>
      </c>
      <c r="B131">
        <v>1</v>
      </c>
      <c r="C131">
        <v>0</v>
      </c>
      <c r="D131">
        <f t="shared" si="16"/>
        <v>0</v>
      </c>
      <c r="E131">
        <f t="shared" si="17"/>
        <v>1.222843541346917</v>
      </c>
      <c r="F131">
        <f t="shared" si="18"/>
        <v>0</v>
      </c>
      <c r="G131" t="str">
        <f t="shared" si="19"/>
        <v>KONTROL İÇİNDE</v>
      </c>
    </row>
    <row r="132" spans="1:7" x14ac:dyDescent="0.35">
      <c r="A132" s="21">
        <v>46244</v>
      </c>
      <c r="B132">
        <v>22</v>
      </c>
      <c r="C132">
        <v>0</v>
      </c>
      <c r="D132">
        <f t="shared" si="16"/>
        <v>0</v>
      </c>
      <c r="E132">
        <f t="shared" si="17"/>
        <v>0.37905660319575846</v>
      </c>
      <c r="F132">
        <f t="shared" si="18"/>
        <v>0</v>
      </c>
      <c r="G132" t="str">
        <f t="shared" si="19"/>
        <v>KONTROL İÇİNDE</v>
      </c>
    </row>
    <row r="133" spans="1:7" x14ac:dyDescent="0.35">
      <c r="A133" s="21">
        <v>46245</v>
      </c>
      <c r="B133">
        <v>35</v>
      </c>
      <c r="C133">
        <v>0</v>
      </c>
      <c r="D133">
        <f t="shared" si="16"/>
        <v>0</v>
      </c>
      <c r="E133">
        <f t="shared" si="17"/>
        <v>0.33168752665041273</v>
      </c>
      <c r="F133">
        <f t="shared" si="18"/>
        <v>0</v>
      </c>
      <c r="G133" t="str">
        <f t="shared" si="19"/>
        <v>KONTROL İÇİNDE</v>
      </c>
    </row>
    <row r="134" spans="1:7" x14ac:dyDescent="0.35">
      <c r="A134" s="21">
        <v>46246</v>
      </c>
      <c r="B134">
        <v>175</v>
      </c>
      <c r="C134">
        <v>0</v>
      </c>
      <c r="D134">
        <f t="shared" si="16"/>
        <v>0</v>
      </c>
      <c r="E134">
        <f t="shared" si="17"/>
        <v>0.23148188497100364</v>
      </c>
      <c r="F134">
        <f t="shared" si="18"/>
        <v>6.9345750869226674E-2</v>
      </c>
      <c r="G134" t="str">
        <f t="shared" si="19"/>
        <v xml:space="preserve"> KONTROL DIŞINDA</v>
      </c>
    </row>
    <row r="135" spans="1:7" x14ac:dyDescent="0.35">
      <c r="A135" s="21">
        <v>46247</v>
      </c>
      <c r="B135">
        <v>9</v>
      </c>
      <c r="C135">
        <v>0</v>
      </c>
      <c r="D135">
        <f t="shared" si="16"/>
        <v>0</v>
      </c>
      <c r="E135">
        <f t="shared" si="17"/>
        <v>0.50789039239571565</v>
      </c>
      <c r="F135">
        <f t="shared" si="18"/>
        <v>0</v>
      </c>
      <c r="G135" t="str">
        <f t="shared" si="19"/>
        <v>KONTROL İÇİNDE</v>
      </c>
    </row>
    <row r="136" spans="1:7" x14ac:dyDescent="0.35">
      <c r="A136" s="21">
        <v>46248</v>
      </c>
      <c r="B136">
        <v>30</v>
      </c>
      <c r="C136">
        <v>0</v>
      </c>
      <c r="D136">
        <f t="shared" si="16"/>
        <v>0</v>
      </c>
      <c r="E136">
        <f t="shared" si="17"/>
        <v>0.34621180154007708</v>
      </c>
      <c r="F136">
        <f t="shared" si="18"/>
        <v>0</v>
      </c>
      <c r="G136" t="str">
        <f t="shared" si="19"/>
        <v>KONTROL İÇİNDE</v>
      </c>
    </row>
    <row r="137" spans="1:7" x14ac:dyDescent="0.35">
      <c r="A137" s="21">
        <v>46250</v>
      </c>
      <c r="B137">
        <v>2</v>
      </c>
      <c r="C137">
        <v>0</v>
      </c>
      <c r="D137">
        <f t="shared" si="16"/>
        <v>0</v>
      </c>
      <c r="E137">
        <f t="shared" si="17"/>
        <v>0.90873614770122035</v>
      </c>
      <c r="F137">
        <f t="shared" si="18"/>
        <v>0</v>
      </c>
      <c r="G137" t="str">
        <f t="shared" si="19"/>
        <v>KONTROL İÇİNDE</v>
      </c>
    </row>
    <row r="138" spans="1:7" x14ac:dyDescent="0.35">
      <c r="A138" s="21">
        <v>46251</v>
      </c>
      <c r="B138">
        <v>66</v>
      </c>
      <c r="C138">
        <v>0</v>
      </c>
      <c r="D138">
        <f t="shared" si="16"/>
        <v>0</v>
      </c>
      <c r="E138">
        <f t="shared" si="17"/>
        <v>0.28242079154727362</v>
      </c>
      <c r="F138">
        <f t="shared" si="18"/>
        <v>1.8406844292956692E-2</v>
      </c>
      <c r="G138" t="str">
        <f t="shared" si="19"/>
        <v xml:space="preserve"> KONTROL DIŞINDA</v>
      </c>
    </row>
    <row r="139" spans="1:7" x14ac:dyDescent="0.35">
      <c r="A139" s="21">
        <v>46252</v>
      </c>
      <c r="B139">
        <v>47</v>
      </c>
      <c r="C139">
        <v>0</v>
      </c>
      <c r="D139">
        <f t="shared" si="16"/>
        <v>0</v>
      </c>
      <c r="E139">
        <f t="shared" si="17"/>
        <v>0.306843770409855</v>
      </c>
      <c r="F139">
        <f t="shared" si="18"/>
        <v>0</v>
      </c>
      <c r="G139" t="str">
        <f t="shared" si="19"/>
        <v>KONTROL İÇİNDE</v>
      </c>
    </row>
    <row r="140" spans="1:7" x14ac:dyDescent="0.35">
      <c r="A140" s="21">
        <v>46253</v>
      </c>
      <c r="B140">
        <v>21</v>
      </c>
      <c r="C140">
        <v>0</v>
      </c>
      <c r="D140">
        <f t="shared" si="16"/>
        <v>0</v>
      </c>
      <c r="E140">
        <f t="shared" si="17"/>
        <v>0.38443716959268065</v>
      </c>
      <c r="F140">
        <f t="shared" si="18"/>
        <v>0</v>
      </c>
      <c r="G140" t="str">
        <f t="shared" si="19"/>
        <v>KONTROL İÇİNDE</v>
      </c>
    </row>
    <row r="141" spans="1:7" x14ac:dyDescent="0.35">
      <c r="A141" s="21">
        <v>46254</v>
      </c>
      <c r="B141">
        <v>25</v>
      </c>
      <c r="C141">
        <v>0</v>
      </c>
      <c r="D141">
        <f t="shared" si="16"/>
        <v>0</v>
      </c>
      <c r="E141">
        <f t="shared" si="17"/>
        <v>0.36489976260547552</v>
      </c>
      <c r="F141">
        <f t="shared" si="18"/>
        <v>0</v>
      </c>
      <c r="G141" t="str">
        <f t="shared" si="19"/>
        <v>KONTROL İÇİNDE</v>
      </c>
    </row>
    <row r="142" spans="1:7" x14ac:dyDescent="0.35">
      <c r="A142" s="21">
        <v>46255</v>
      </c>
      <c r="B142">
        <v>209</v>
      </c>
      <c r="C142">
        <v>0</v>
      </c>
      <c r="D142">
        <f t="shared" si="16"/>
        <v>0</v>
      </c>
      <c r="E142">
        <f t="shared" si="17"/>
        <v>0.22459533303753643</v>
      </c>
      <c r="F142">
        <f t="shared" si="18"/>
        <v>7.6232302802693871E-2</v>
      </c>
      <c r="G142" t="str">
        <f t="shared" si="19"/>
        <v xml:space="preserve"> KONTROL DIŞINDA</v>
      </c>
    </row>
    <row r="143" spans="1:7" x14ac:dyDescent="0.35">
      <c r="A143" s="21">
        <v>46256</v>
      </c>
      <c r="B143">
        <v>23</v>
      </c>
      <c r="C143">
        <v>0</v>
      </c>
      <c r="D143">
        <f t="shared" si="16"/>
        <v>0</v>
      </c>
      <c r="E143">
        <f t="shared" si="17"/>
        <v>0.37403087331784546</v>
      </c>
      <c r="F143">
        <f t="shared" si="18"/>
        <v>0</v>
      </c>
      <c r="G143" t="str">
        <f t="shared" si="19"/>
        <v>KONTROL İÇİNDE</v>
      </c>
    </row>
    <row r="144" spans="1:7" x14ac:dyDescent="0.35">
      <c r="A144" s="21">
        <v>46258</v>
      </c>
      <c r="B144">
        <v>42</v>
      </c>
      <c r="C144">
        <v>0</v>
      </c>
      <c r="D144">
        <f t="shared" si="16"/>
        <v>0</v>
      </c>
      <c r="E144">
        <f t="shared" si="17"/>
        <v>0.31589331684379041</v>
      </c>
      <c r="F144">
        <f t="shared" si="18"/>
        <v>0</v>
      </c>
      <c r="G144" t="str">
        <f t="shared" si="19"/>
        <v>KONTROL İÇİNDE</v>
      </c>
    </row>
    <row r="145" spans="1:7" x14ac:dyDescent="0.35">
      <c r="A145" s="21">
        <v>46259</v>
      </c>
      <c r="B145">
        <v>17</v>
      </c>
      <c r="C145">
        <v>0</v>
      </c>
      <c r="D145">
        <f t="shared" si="16"/>
        <v>0</v>
      </c>
      <c r="E145">
        <f t="shared" si="17"/>
        <v>0.41051623119897623</v>
      </c>
      <c r="F145">
        <f t="shared" si="18"/>
        <v>0</v>
      </c>
      <c r="G145" t="str">
        <f t="shared" si="19"/>
        <v>KONTROL İÇİNDE</v>
      </c>
    </row>
    <row r="146" spans="1:7" x14ac:dyDescent="0.35">
      <c r="A146" s="21">
        <v>46260</v>
      </c>
      <c r="B146">
        <v>46</v>
      </c>
      <c r="C146">
        <v>0</v>
      </c>
      <c r="D146">
        <f t="shared" si="16"/>
        <v>0</v>
      </c>
      <c r="E146">
        <f t="shared" si="17"/>
        <v>0.30853495418081811</v>
      </c>
      <c r="F146">
        <f t="shared" si="18"/>
        <v>0</v>
      </c>
      <c r="G146" t="str">
        <f t="shared" si="19"/>
        <v>KONTROL İÇİNDE</v>
      </c>
    </row>
    <row r="147" spans="1:7" x14ac:dyDescent="0.35">
      <c r="A147" s="21">
        <v>46261</v>
      </c>
      <c r="B147">
        <v>160</v>
      </c>
      <c r="C147">
        <v>0</v>
      </c>
      <c r="D147">
        <f t="shared" si="16"/>
        <v>0</v>
      </c>
      <c r="E147">
        <f t="shared" si="17"/>
        <v>0.23519683183244339</v>
      </c>
      <c r="F147">
        <f t="shared" si="18"/>
        <v>6.5630804007786939E-2</v>
      </c>
      <c r="G147" t="str">
        <f t="shared" si="19"/>
        <v xml:space="preserve"> KONTROL DIŞINDA</v>
      </c>
    </row>
    <row r="148" spans="1:7" x14ac:dyDescent="0.35">
      <c r="A148" s="21">
        <v>46262</v>
      </c>
      <c r="B148">
        <v>57</v>
      </c>
      <c r="C148">
        <v>0</v>
      </c>
      <c r="D148">
        <f t="shared" si="16"/>
        <v>0</v>
      </c>
      <c r="E148">
        <f t="shared" si="17"/>
        <v>0.29246060485582664</v>
      </c>
      <c r="F148">
        <f t="shared" si="18"/>
        <v>8.3670309844036672E-3</v>
      </c>
      <c r="G148" t="str">
        <f t="shared" si="19"/>
        <v xml:space="preserve"> KONTROL DIŞINDA</v>
      </c>
    </row>
    <row r="149" spans="1:7" x14ac:dyDescent="0.35">
      <c r="B149">
        <f>SUM(B2:B148)</f>
        <v>5558</v>
      </c>
      <c r="C149">
        <f>SUM(C2:C148)</f>
        <v>836</v>
      </c>
      <c r="D149">
        <f t="shared" si="16"/>
        <v>0.15041381792011516</v>
      </c>
    </row>
  </sheetData>
  <autoFilter ref="A1:A512" xr:uid="{00000000-0009-0000-0000-000000000000}"/>
  <conditionalFormatting sqref="G1:G1048576">
    <cfRule type="cellIs" dxfId="17" priority="1" operator="equal">
      <formula>$G$5</formula>
    </cfRule>
    <cfRule type="cellIs" dxfId="16" priority="4" operator="equal">
      <formula>#REF!</formula>
    </cfRule>
    <cfRule type="cellIs" dxfId="15" priority="5" operator="equal">
      <formula>"KONTROL DIŞINDA"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2"/>
  <sheetViews>
    <sheetView topLeftCell="G1" zoomScale="56" workbookViewId="0">
      <selection activeCell="S27" sqref="S27"/>
    </sheetView>
  </sheetViews>
  <sheetFormatPr defaultColWidth="21.90625" defaultRowHeight="14.5" x14ac:dyDescent="0.35"/>
  <sheetData>
    <row r="1" spans="1:8" ht="20" customHeight="1" x14ac:dyDescent="0.35">
      <c r="A1" s="4" t="s">
        <v>21</v>
      </c>
      <c r="B1" s="3" t="s">
        <v>1</v>
      </c>
      <c r="C1" s="3" t="s">
        <v>25</v>
      </c>
      <c r="D1" s="12" t="s">
        <v>22</v>
      </c>
      <c r="E1" s="12" t="s">
        <v>4</v>
      </c>
      <c r="F1" s="12" t="s">
        <v>5</v>
      </c>
      <c r="G1" s="12" t="s">
        <v>6</v>
      </c>
    </row>
    <row r="2" spans="1:8" x14ac:dyDescent="0.35">
      <c r="A2" s="21">
        <v>46029</v>
      </c>
      <c r="B2">
        <v>2</v>
      </c>
      <c r="C2">
        <v>0</v>
      </c>
      <c r="D2">
        <f t="shared" ref="D2:D33" si="0">C2/B2</f>
        <v>0</v>
      </c>
      <c r="E2">
        <f t="shared" ref="E2:E33" si="1">$D$152+3*SQRT($D$152*(1-$D$152)/B2)</f>
        <v>0.67940998532232055</v>
      </c>
      <c r="F2">
        <f t="shared" ref="F2:F33" si="2">MAX(0,$D$152-3*SQRT($D$152*(1-$D$152)/B2))</f>
        <v>0</v>
      </c>
      <c r="G2" t="str">
        <f t="shared" ref="G2:G33" si="3">IF(AND(D2&lt;=E2,D2&gt;=F2),"KONTROL İÇİNDE"," KONTROL DIŞINDA")</f>
        <v>KONTROL İÇİNDE</v>
      </c>
    </row>
    <row r="3" spans="1:8" x14ac:dyDescent="0.35">
      <c r="A3" s="21">
        <v>46030</v>
      </c>
      <c r="B3">
        <v>34</v>
      </c>
      <c r="C3">
        <v>0</v>
      </c>
      <c r="D3">
        <f t="shared" si="0"/>
        <v>0</v>
      </c>
      <c r="E3">
        <f t="shared" si="1"/>
        <v>0.22967914413964008</v>
      </c>
      <c r="F3">
        <f t="shared" si="2"/>
        <v>0</v>
      </c>
      <c r="G3" t="str">
        <f t="shared" si="3"/>
        <v>KONTROL İÇİNDE</v>
      </c>
    </row>
    <row r="4" spans="1:8" x14ac:dyDescent="0.35">
      <c r="A4" s="21">
        <v>46031</v>
      </c>
      <c r="B4">
        <v>1</v>
      </c>
      <c r="C4">
        <v>0</v>
      </c>
      <c r="D4">
        <f t="shared" si="0"/>
        <v>0</v>
      </c>
      <c r="E4">
        <f t="shared" si="1"/>
        <v>0.92534183372675827</v>
      </c>
      <c r="F4">
        <f t="shared" si="2"/>
        <v>0</v>
      </c>
      <c r="G4" t="str">
        <f t="shared" si="3"/>
        <v>KONTROL İÇİNDE</v>
      </c>
    </row>
    <row r="5" spans="1:8" x14ac:dyDescent="0.35">
      <c r="A5" s="21">
        <v>46034</v>
      </c>
      <c r="B5">
        <v>30</v>
      </c>
      <c r="C5">
        <v>11</v>
      </c>
      <c r="D5">
        <f t="shared" si="0"/>
        <v>0.36666666666666664</v>
      </c>
      <c r="E5">
        <f t="shared" si="1"/>
        <v>0.23897892568303691</v>
      </c>
      <c r="F5">
        <f t="shared" si="2"/>
        <v>0</v>
      </c>
      <c r="G5" t="str">
        <f t="shared" si="3"/>
        <v xml:space="preserve"> KONTROL DIŞINDA</v>
      </c>
      <c r="H5" s="6" t="s">
        <v>26</v>
      </c>
    </row>
    <row r="6" spans="1:8" x14ac:dyDescent="0.35">
      <c r="A6" s="21">
        <v>46035</v>
      </c>
      <c r="B6">
        <v>81</v>
      </c>
      <c r="C6">
        <v>0</v>
      </c>
      <c r="D6">
        <f t="shared" si="0"/>
        <v>0</v>
      </c>
      <c r="E6">
        <f t="shared" si="1"/>
        <v>0.17897396506727803</v>
      </c>
      <c r="F6">
        <f t="shared" si="2"/>
        <v>0</v>
      </c>
      <c r="G6" t="str">
        <f t="shared" si="3"/>
        <v>KONTROL İÇİNDE</v>
      </c>
    </row>
    <row r="7" spans="1:8" x14ac:dyDescent="0.35">
      <c r="A7" s="21">
        <v>46037</v>
      </c>
      <c r="B7">
        <v>6</v>
      </c>
      <c r="C7">
        <v>0</v>
      </c>
      <c r="D7">
        <f t="shared" si="0"/>
        <v>0</v>
      </c>
      <c r="E7">
        <f t="shared" si="1"/>
        <v>0.42846931372690655</v>
      </c>
      <c r="F7">
        <f t="shared" si="2"/>
        <v>0</v>
      </c>
      <c r="G7" t="str">
        <f t="shared" si="3"/>
        <v>KONTROL İÇİNDE</v>
      </c>
    </row>
    <row r="8" spans="1:8" x14ac:dyDescent="0.35">
      <c r="A8" s="21">
        <v>46038</v>
      </c>
      <c r="B8">
        <v>2</v>
      </c>
      <c r="C8">
        <v>0</v>
      </c>
      <c r="D8">
        <f t="shared" si="0"/>
        <v>0</v>
      </c>
      <c r="E8">
        <f t="shared" si="1"/>
        <v>0.67940998532232055</v>
      </c>
      <c r="F8">
        <f t="shared" si="2"/>
        <v>0</v>
      </c>
      <c r="G8" t="str">
        <f t="shared" si="3"/>
        <v>KONTROL İÇİNDE</v>
      </c>
    </row>
    <row r="9" spans="1:8" x14ac:dyDescent="0.35">
      <c r="A9" s="21">
        <v>46041</v>
      </c>
      <c r="B9">
        <v>12</v>
      </c>
      <c r="C9">
        <v>0</v>
      </c>
      <c r="D9">
        <f t="shared" si="0"/>
        <v>0</v>
      </c>
      <c r="E9">
        <f t="shared" si="1"/>
        <v>0.32806805704517694</v>
      </c>
      <c r="F9">
        <f t="shared" si="2"/>
        <v>0</v>
      </c>
      <c r="G9" t="str">
        <f t="shared" si="3"/>
        <v>KONTROL İÇİNDE</v>
      </c>
    </row>
    <row r="10" spans="1:8" x14ac:dyDescent="0.35">
      <c r="A10" s="21">
        <v>46043</v>
      </c>
      <c r="B10">
        <v>316</v>
      </c>
      <c r="C10">
        <v>0</v>
      </c>
      <c r="D10">
        <f t="shared" si="0"/>
        <v>0</v>
      </c>
      <c r="E10">
        <f t="shared" si="1"/>
        <v>0.13291276353495876</v>
      </c>
      <c r="F10">
        <f t="shared" si="2"/>
        <v>3.8443199434727203E-2</v>
      </c>
      <c r="G10" t="str">
        <f t="shared" si="3"/>
        <v xml:space="preserve"> KONTROL DIŞINDA</v>
      </c>
    </row>
    <row r="11" spans="1:8" x14ac:dyDescent="0.35">
      <c r="A11" s="21">
        <v>46045</v>
      </c>
      <c r="B11">
        <v>9</v>
      </c>
      <c r="C11">
        <v>1</v>
      </c>
      <c r="D11">
        <f t="shared" si="0"/>
        <v>0.1111111111111111</v>
      </c>
      <c r="E11">
        <f t="shared" si="1"/>
        <v>0.36556593223214806</v>
      </c>
      <c r="F11">
        <f t="shared" si="2"/>
        <v>0</v>
      </c>
      <c r="G11" t="str">
        <f t="shared" si="3"/>
        <v>KONTROL İÇİNDE</v>
      </c>
    </row>
    <row r="12" spans="1:8" x14ac:dyDescent="0.35">
      <c r="A12" s="21">
        <v>46048</v>
      </c>
      <c r="B12">
        <v>2</v>
      </c>
      <c r="C12">
        <v>0</v>
      </c>
      <c r="D12">
        <f t="shared" si="0"/>
        <v>0</v>
      </c>
      <c r="E12">
        <f t="shared" si="1"/>
        <v>0.67940998532232055</v>
      </c>
      <c r="F12">
        <f t="shared" si="2"/>
        <v>0</v>
      </c>
      <c r="G12" t="str">
        <f t="shared" si="3"/>
        <v>KONTROL İÇİNDE</v>
      </c>
    </row>
    <row r="13" spans="1:8" x14ac:dyDescent="0.35">
      <c r="A13" s="21">
        <v>46050</v>
      </c>
      <c r="B13">
        <v>205</v>
      </c>
      <c r="C13">
        <v>0</v>
      </c>
      <c r="D13">
        <f t="shared" si="0"/>
        <v>0</v>
      </c>
      <c r="E13">
        <f t="shared" si="1"/>
        <v>0.14432264875167741</v>
      </c>
      <c r="F13">
        <f t="shared" si="2"/>
        <v>2.7033314218008558E-2</v>
      </c>
      <c r="G13" t="str">
        <f t="shared" si="3"/>
        <v xml:space="preserve"> KONTROL DIŞINDA</v>
      </c>
    </row>
    <row r="14" spans="1:8" x14ac:dyDescent="0.35">
      <c r="A14" s="21">
        <v>46052</v>
      </c>
      <c r="B14">
        <v>6</v>
      </c>
      <c r="C14">
        <v>0</v>
      </c>
      <c r="D14">
        <f t="shared" si="0"/>
        <v>0</v>
      </c>
      <c r="E14">
        <f t="shared" si="1"/>
        <v>0.42846931372690655</v>
      </c>
      <c r="F14">
        <f t="shared" si="2"/>
        <v>0</v>
      </c>
      <c r="G14" t="str">
        <f t="shared" si="3"/>
        <v>KONTROL İÇİNDE</v>
      </c>
    </row>
    <row r="15" spans="1:8" x14ac:dyDescent="0.35">
      <c r="A15" s="21">
        <v>46055</v>
      </c>
      <c r="B15">
        <v>2</v>
      </c>
      <c r="C15">
        <v>0</v>
      </c>
      <c r="D15">
        <f t="shared" si="0"/>
        <v>0</v>
      </c>
      <c r="E15">
        <f t="shared" si="1"/>
        <v>0.67940998532232055</v>
      </c>
      <c r="F15">
        <f t="shared" si="2"/>
        <v>0</v>
      </c>
      <c r="G15" t="str">
        <f t="shared" si="3"/>
        <v>KONTROL İÇİNDE</v>
      </c>
    </row>
    <row r="16" spans="1:8" x14ac:dyDescent="0.35">
      <c r="A16" s="21">
        <v>46056</v>
      </c>
      <c r="B16">
        <v>1</v>
      </c>
      <c r="C16">
        <v>0</v>
      </c>
      <c r="D16">
        <f t="shared" si="0"/>
        <v>0</v>
      </c>
      <c r="E16">
        <f t="shared" si="1"/>
        <v>0.92534183372675827</v>
      </c>
      <c r="F16">
        <f t="shared" si="2"/>
        <v>0</v>
      </c>
      <c r="G16" t="str">
        <f t="shared" si="3"/>
        <v>KONTROL İÇİNDE</v>
      </c>
    </row>
    <row r="17" spans="1:8" x14ac:dyDescent="0.35">
      <c r="A17" s="21">
        <v>46057</v>
      </c>
      <c r="B17">
        <v>7</v>
      </c>
      <c r="C17">
        <v>0</v>
      </c>
      <c r="D17">
        <f t="shared" si="0"/>
        <v>0</v>
      </c>
      <c r="E17">
        <f t="shared" si="1"/>
        <v>0.40304108690235607</v>
      </c>
      <c r="F17">
        <f t="shared" si="2"/>
        <v>0</v>
      </c>
      <c r="G17" t="str">
        <f t="shared" si="3"/>
        <v>KONTROL İÇİNDE</v>
      </c>
    </row>
    <row r="18" spans="1:8" x14ac:dyDescent="0.35">
      <c r="A18" s="21">
        <v>46058</v>
      </c>
      <c r="B18">
        <v>6</v>
      </c>
      <c r="C18">
        <v>0</v>
      </c>
      <c r="D18">
        <f t="shared" si="0"/>
        <v>0</v>
      </c>
      <c r="E18">
        <f t="shared" si="1"/>
        <v>0.42846931372690655</v>
      </c>
      <c r="F18">
        <f t="shared" si="2"/>
        <v>0</v>
      </c>
      <c r="G18" t="str">
        <f t="shared" si="3"/>
        <v>KONTROL İÇİNDE</v>
      </c>
    </row>
    <row r="19" spans="1:8" x14ac:dyDescent="0.35">
      <c r="A19" s="21">
        <v>46059</v>
      </c>
      <c r="B19">
        <v>7</v>
      </c>
      <c r="C19">
        <v>0</v>
      </c>
      <c r="D19">
        <f t="shared" si="0"/>
        <v>0</v>
      </c>
      <c r="E19">
        <f t="shared" si="1"/>
        <v>0.40304108690235607</v>
      </c>
      <c r="F19">
        <f t="shared" si="2"/>
        <v>0</v>
      </c>
      <c r="G19" t="str">
        <f t="shared" si="3"/>
        <v>KONTROL İÇİNDE</v>
      </c>
    </row>
    <row r="20" spans="1:8" x14ac:dyDescent="0.35">
      <c r="A20" s="21">
        <v>46062</v>
      </c>
      <c r="B20">
        <v>25</v>
      </c>
      <c r="C20">
        <v>0</v>
      </c>
      <c r="D20">
        <f t="shared" si="0"/>
        <v>0</v>
      </c>
      <c r="E20">
        <f t="shared" si="1"/>
        <v>0.25361075193322602</v>
      </c>
      <c r="F20">
        <f t="shared" si="2"/>
        <v>0</v>
      </c>
      <c r="G20" t="str">
        <f t="shared" si="3"/>
        <v>KONTROL İÇİNDE</v>
      </c>
    </row>
    <row r="21" spans="1:8" x14ac:dyDescent="0.35">
      <c r="A21" s="21">
        <v>46063</v>
      </c>
      <c r="B21">
        <v>4</v>
      </c>
      <c r="C21">
        <v>0</v>
      </c>
      <c r="D21">
        <f t="shared" si="0"/>
        <v>0</v>
      </c>
      <c r="E21">
        <f t="shared" si="1"/>
        <v>0.50550990760580061</v>
      </c>
      <c r="F21">
        <f t="shared" si="2"/>
        <v>0</v>
      </c>
      <c r="G21" t="str">
        <f t="shared" si="3"/>
        <v>KONTROL İÇİNDE</v>
      </c>
    </row>
    <row r="22" spans="1:8" x14ac:dyDescent="0.35">
      <c r="A22" s="21">
        <v>46064</v>
      </c>
      <c r="B22">
        <v>2</v>
      </c>
      <c r="C22">
        <v>0</v>
      </c>
      <c r="D22">
        <f t="shared" si="0"/>
        <v>0</v>
      </c>
      <c r="E22">
        <f t="shared" si="1"/>
        <v>0.67940998532232055</v>
      </c>
      <c r="F22">
        <f t="shared" si="2"/>
        <v>0</v>
      </c>
      <c r="G22" t="str">
        <f t="shared" si="3"/>
        <v>KONTROL İÇİNDE</v>
      </c>
    </row>
    <row r="23" spans="1:8" x14ac:dyDescent="0.35">
      <c r="A23" s="21">
        <v>46065</v>
      </c>
      <c r="B23">
        <v>86</v>
      </c>
      <c r="C23">
        <v>0</v>
      </c>
      <c r="D23">
        <f t="shared" si="0"/>
        <v>0</v>
      </c>
      <c r="E23">
        <f t="shared" si="1"/>
        <v>0.17622126323077086</v>
      </c>
      <c r="F23">
        <f t="shared" si="2"/>
        <v>0</v>
      </c>
      <c r="G23" t="str">
        <f t="shared" si="3"/>
        <v>KONTROL İÇİNDE</v>
      </c>
    </row>
    <row r="24" spans="1:8" x14ac:dyDescent="0.35">
      <c r="A24" s="21">
        <v>46066</v>
      </c>
      <c r="B24">
        <v>16</v>
      </c>
      <c r="C24">
        <v>0</v>
      </c>
      <c r="D24">
        <f t="shared" si="0"/>
        <v>0</v>
      </c>
      <c r="E24">
        <f t="shared" si="1"/>
        <v>0.29559394454532184</v>
      </c>
      <c r="F24">
        <f t="shared" si="2"/>
        <v>0</v>
      </c>
      <c r="G24" t="str">
        <f t="shared" si="3"/>
        <v>KONTROL İÇİNDE</v>
      </c>
    </row>
    <row r="25" spans="1:8" x14ac:dyDescent="0.35">
      <c r="A25" s="21">
        <v>46069</v>
      </c>
      <c r="B25">
        <v>7</v>
      </c>
      <c r="C25">
        <v>0</v>
      </c>
      <c r="D25">
        <f t="shared" si="0"/>
        <v>0</v>
      </c>
      <c r="E25">
        <f t="shared" si="1"/>
        <v>0.40304108690235607</v>
      </c>
      <c r="F25">
        <f t="shared" si="2"/>
        <v>0</v>
      </c>
      <c r="G25" t="str">
        <f t="shared" si="3"/>
        <v>KONTROL İÇİNDE</v>
      </c>
    </row>
    <row r="26" spans="1:8" x14ac:dyDescent="0.35">
      <c r="A26" s="21">
        <v>46070</v>
      </c>
      <c r="B26">
        <v>11</v>
      </c>
      <c r="C26">
        <v>0</v>
      </c>
      <c r="D26">
        <f t="shared" si="0"/>
        <v>0</v>
      </c>
      <c r="E26">
        <f t="shared" si="1"/>
        <v>0.33884615856764755</v>
      </c>
      <c r="F26">
        <f t="shared" si="2"/>
        <v>0</v>
      </c>
      <c r="G26" t="str">
        <f t="shared" si="3"/>
        <v>KONTROL İÇİNDE</v>
      </c>
    </row>
    <row r="27" spans="1:8" x14ac:dyDescent="0.35">
      <c r="A27" s="21">
        <v>46071</v>
      </c>
      <c r="B27">
        <v>6</v>
      </c>
      <c r="C27">
        <v>0</v>
      </c>
      <c r="D27">
        <f t="shared" si="0"/>
        <v>0</v>
      </c>
      <c r="E27">
        <f t="shared" si="1"/>
        <v>0.42846931372690655</v>
      </c>
      <c r="F27">
        <f t="shared" si="2"/>
        <v>0</v>
      </c>
      <c r="G27" t="str">
        <f t="shared" si="3"/>
        <v>KONTROL İÇİNDE</v>
      </c>
    </row>
    <row r="28" spans="1:8" x14ac:dyDescent="0.35">
      <c r="A28" s="21">
        <v>46072</v>
      </c>
      <c r="B28">
        <v>8</v>
      </c>
      <c r="C28">
        <v>0</v>
      </c>
      <c r="D28">
        <f t="shared" si="0"/>
        <v>0</v>
      </c>
      <c r="E28">
        <f t="shared" si="1"/>
        <v>0.38254398340358176</v>
      </c>
      <c r="F28">
        <f t="shared" si="2"/>
        <v>0</v>
      </c>
      <c r="G28" t="str">
        <f t="shared" si="3"/>
        <v>KONTROL İÇİNDE</v>
      </c>
    </row>
    <row r="29" spans="1:8" x14ac:dyDescent="0.35">
      <c r="A29" s="21">
        <v>46076</v>
      </c>
      <c r="B29">
        <v>42</v>
      </c>
      <c r="C29">
        <v>28</v>
      </c>
      <c r="D29">
        <f t="shared" si="0"/>
        <v>0.66666666666666663</v>
      </c>
      <c r="E29">
        <f t="shared" si="1"/>
        <v>0.21524092672784548</v>
      </c>
      <c r="F29">
        <f t="shared" si="2"/>
        <v>0</v>
      </c>
      <c r="G29" t="str">
        <f t="shared" si="3"/>
        <v xml:space="preserve"> KONTROL DIŞINDA</v>
      </c>
      <c r="H29" s="5" t="s">
        <v>26</v>
      </c>
    </row>
    <row r="30" spans="1:8" x14ac:dyDescent="0.35">
      <c r="A30" s="21">
        <v>46077</v>
      </c>
      <c r="B30">
        <v>5</v>
      </c>
      <c r="C30">
        <v>0</v>
      </c>
      <c r="D30">
        <f t="shared" si="0"/>
        <v>0</v>
      </c>
      <c r="E30">
        <f t="shared" si="1"/>
        <v>0.46118707185729535</v>
      </c>
      <c r="F30">
        <f t="shared" si="2"/>
        <v>0</v>
      </c>
      <c r="G30" t="str">
        <f t="shared" si="3"/>
        <v>KONTROL İÇİNDE</v>
      </c>
    </row>
    <row r="31" spans="1:8" x14ac:dyDescent="0.35">
      <c r="A31" s="21">
        <v>46078</v>
      </c>
      <c r="B31">
        <v>103</v>
      </c>
      <c r="C31">
        <v>65</v>
      </c>
      <c r="D31">
        <f t="shared" si="0"/>
        <v>0.6310679611650486</v>
      </c>
      <c r="E31">
        <f t="shared" si="1"/>
        <v>0.1684125192278606</v>
      </c>
      <c r="F31">
        <f t="shared" si="2"/>
        <v>2.9434437418253689E-3</v>
      </c>
      <c r="G31" t="str">
        <f t="shared" si="3"/>
        <v xml:space="preserve"> KONTROL DIŞINDA</v>
      </c>
      <c r="H31" s="5" t="s">
        <v>26</v>
      </c>
    </row>
    <row r="32" spans="1:8" x14ac:dyDescent="0.35">
      <c r="A32" s="21">
        <v>46079</v>
      </c>
      <c r="B32">
        <v>102</v>
      </c>
      <c r="C32">
        <v>60</v>
      </c>
      <c r="D32">
        <f t="shared" si="0"/>
        <v>0.58823529411764708</v>
      </c>
      <c r="E32">
        <f t="shared" si="1"/>
        <v>0.16881709150720917</v>
      </c>
      <c r="F32">
        <f t="shared" si="2"/>
        <v>2.538871462476805E-3</v>
      </c>
      <c r="G32" t="str">
        <f t="shared" si="3"/>
        <v xml:space="preserve"> KONTROL DIŞINDA</v>
      </c>
      <c r="H32" s="5" t="s">
        <v>26</v>
      </c>
    </row>
    <row r="33" spans="1:8" x14ac:dyDescent="0.35">
      <c r="A33" s="21">
        <v>46081</v>
      </c>
      <c r="B33">
        <v>28</v>
      </c>
      <c r="C33">
        <v>0</v>
      </c>
      <c r="D33">
        <f t="shared" si="0"/>
        <v>0</v>
      </c>
      <c r="E33">
        <f t="shared" si="1"/>
        <v>0.24435953419359954</v>
      </c>
      <c r="F33">
        <f t="shared" si="2"/>
        <v>0</v>
      </c>
      <c r="G33" t="str">
        <f t="shared" si="3"/>
        <v>KONTROL İÇİNDE</v>
      </c>
    </row>
    <row r="34" spans="1:8" x14ac:dyDescent="0.35">
      <c r="A34" s="21">
        <v>46083</v>
      </c>
      <c r="B34">
        <v>2</v>
      </c>
      <c r="C34">
        <v>0</v>
      </c>
      <c r="D34">
        <f t="shared" ref="D34:D65" si="4">C34/B34</f>
        <v>0</v>
      </c>
      <c r="E34">
        <f t="shared" ref="E34:E65" si="5">$D$152+3*SQRT($D$152*(1-$D$152)/B34)</f>
        <v>0.67940998532232055</v>
      </c>
      <c r="F34">
        <f t="shared" ref="F34:F65" si="6">MAX(0,$D$152-3*SQRT($D$152*(1-$D$152)/B34))</f>
        <v>0</v>
      </c>
      <c r="G34" t="str">
        <f t="shared" ref="G34:G65" si="7">IF(AND(D34&lt;=E34,D34&gt;=F34),"KONTROL İÇİNDE"," KONTROL DIŞINDA")</f>
        <v>KONTROL İÇİNDE</v>
      </c>
    </row>
    <row r="35" spans="1:8" x14ac:dyDescent="0.35">
      <c r="A35" s="21">
        <v>46084</v>
      </c>
      <c r="B35">
        <v>233</v>
      </c>
      <c r="C35">
        <v>4</v>
      </c>
      <c r="D35">
        <f t="shared" si="4"/>
        <v>1.7167381974248927E-2</v>
      </c>
      <c r="E35">
        <f t="shared" si="5"/>
        <v>0.14068618940776625</v>
      </c>
      <c r="F35">
        <f t="shared" si="6"/>
        <v>3.0669773561919716E-2</v>
      </c>
      <c r="G35" t="str">
        <f t="shared" si="7"/>
        <v xml:space="preserve"> KONTROL DIŞINDA</v>
      </c>
      <c r="H35" s="5" t="s">
        <v>26</v>
      </c>
    </row>
    <row r="36" spans="1:8" x14ac:dyDescent="0.35">
      <c r="A36" s="21">
        <v>46086</v>
      </c>
      <c r="B36">
        <v>5</v>
      </c>
      <c r="C36">
        <v>0</v>
      </c>
      <c r="D36">
        <f t="shared" si="4"/>
        <v>0</v>
      </c>
      <c r="E36">
        <f t="shared" si="5"/>
        <v>0.46118707185729535</v>
      </c>
      <c r="F36">
        <f t="shared" si="6"/>
        <v>0</v>
      </c>
      <c r="G36" t="str">
        <f t="shared" si="7"/>
        <v>KONTROL İÇİNDE</v>
      </c>
    </row>
    <row r="37" spans="1:8" x14ac:dyDescent="0.35">
      <c r="A37" s="21">
        <v>46087</v>
      </c>
      <c r="B37">
        <v>2</v>
      </c>
      <c r="C37">
        <v>0</v>
      </c>
      <c r="D37">
        <f t="shared" si="4"/>
        <v>0</v>
      </c>
      <c r="E37">
        <f t="shared" si="5"/>
        <v>0.67940998532232055</v>
      </c>
      <c r="F37">
        <f t="shared" si="6"/>
        <v>0</v>
      </c>
      <c r="G37" t="str">
        <f t="shared" si="7"/>
        <v>KONTROL İÇİNDE</v>
      </c>
    </row>
    <row r="38" spans="1:8" x14ac:dyDescent="0.35">
      <c r="A38" s="21">
        <v>46090</v>
      </c>
      <c r="B38">
        <v>2</v>
      </c>
      <c r="C38">
        <v>0</v>
      </c>
      <c r="D38">
        <f t="shared" si="4"/>
        <v>0</v>
      </c>
      <c r="E38">
        <f t="shared" si="5"/>
        <v>0.67940998532232055</v>
      </c>
      <c r="F38">
        <f t="shared" si="6"/>
        <v>0</v>
      </c>
      <c r="G38" t="str">
        <f t="shared" si="7"/>
        <v>KONTROL İÇİNDE</v>
      </c>
    </row>
    <row r="39" spans="1:8" x14ac:dyDescent="0.35">
      <c r="A39" s="21">
        <v>46091</v>
      </c>
      <c r="B39">
        <v>102</v>
      </c>
      <c r="C39">
        <v>52</v>
      </c>
      <c r="D39">
        <f t="shared" si="4"/>
        <v>0.50980392156862742</v>
      </c>
      <c r="E39">
        <f t="shared" si="5"/>
        <v>0.16881709150720917</v>
      </c>
      <c r="F39">
        <f t="shared" si="6"/>
        <v>2.538871462476805E-3</v>
      </c>
      <c r="G39" t="str">
        <f t="shared" si="7"/>
        <v xml:space="preserve"> KONTROL DIŞINDA</v>
      </c>
      <c r="H39" s="5" t="s">
        <v>26</v>
      </c>
    </row>
    <row r="40" spans="1:8" x14ac:dyDescent="0.35">
      <c r="A40" s="21">
        <v>46092</v>
      </c>
      <c r="B40">
        <v>9</v>
      </c>
      <c r="C40">
        <v>0</v>
      </c>
      <c r="D40">
        <f t="shared" si="4"/>
        <v>0</v>
      </c>
      <c r="E40">
        <f t="shared" si="5"/>
        <v>0.36556593223214806</v>
      </c>
      <c r="F40">
        <f t="shared" si="6"/>
        <v>0</v>
      </c>
      <c r="G40" t="str">
        <f t="shared" si="7"/>
        <v>KONTROL İÇİNDE</v>
      </c>
    </row>
    <row r="41" spans="1:8" x14ac:dyDescent="0.35">
      <c r="A41" s="21">
        <v>46093</v>
      </c>
      <c r="B41">
        <v>23</v>
      </c>
      <c r="C41">
        <v>0</v>
      </c>
      <c r="D41">
        <f t="shared" si="4"/>
        <v>0</v>
      </c>
      <c r="E41">
        <f t="shared" si="5"/>
        <v>0.26075999763997215</v>
      </c>
      <c r="F41">
        <f t="shared" si="6"/>
        <v>0</v>
      </c>
      <c r="G41" t="str">
        <f t="shared" si="7"/>
        <v>KONTROL İÇİNDE</v>
      </c>
    </row>
    <row r="42" spans="1:8" x14ac:dyDescent="0.35">
      <c r="A42" s="21">
        <v>46094</v>
      </c>
      <c r="B42">
        <v>1</v>
      </c>
      <c r="C42">
        <v>0</v>
      </c>
      <c r="D42">
        <f t="shared" si="4"/>
        <v>0</v>
      </c>
      <c r="E42">
        <f t="shared" si="5"/>
        <v>0.92534183372675827</v>
      </c>
      <c r="F42">
        <f t="shared" si="6"/>
        <v>0</v>
      </c>
      <c r="G42" t="str">
        <f t="shared" si="7"/>
        <v>KONTROL İÇİNDE</v>
      </c>
    </row>
    <row r="43" spans="1:8" x14ac:dyDescent="0.35">
      <c r="A43" s="21">
        <v>46096</v>
      </c>
      <c r="B43">
        <v>1</v>
      </c>
      <c r="C43">
        <v>0</v>
      </c>
      <c r="D43">
        <f t="shared" si="4"/>
        <v>0</v>
      </c>
      <c r="E43">
        <f t="shared" si="5"/>
        <v>0.92534183372675827</v>
      </c>
      <c r="F43">
        <f t="shared" si="6"/>
        <v>0</v>
      </c>
      <c r="G43" t="str">
        <f t="shared" si="7"/>
        <v>KONTROL İÇİNDE</v>
      </c>
    </row>
    <row r="44" spans="1:8" x14ac:dyDescent="0.35">
      <c r="A44" s="21">
        <v>46097</v>
      </c>
      <c r="B44">
        <v>33</v>
      </c>
      <c r="C44">
        <v>0</v>
      </c>
      <c r="D44">
        <f t="shared" si="4"/>
        <v>0</v>
      </c>
      <c r="E44">
        <f t="shared" si="5"/>
        <v>0.23184469667384702</v>
      </c>
      <c r="F44">
        <f t="shared" si="6"/>
        <v>0</v>
      </c>
      <c r="G44" t="str">
        <f t="shared" si="7"/>
        <v>KONTROL İÇİNDE</v>
      </c>
    </row>
    <row r="45" spans="1:8" x14ac:dyDescent="0.35">
      <c r="A45" s="21">
        <v>46098</v>
      </c>
      <c r="B45">
        <v>17</v>
      </c>
      <c r="C45">
        <v>0</v>
      </c>
      <c r="D45">
        <f t="shared" si="4"/>
        <v>0</v>
      </c>
      <c r="E45">
        <f t="shared" si="5"/>
        <v>0.28932637870875111</v>
      </c>
      <c r="F45">
        <f t="shared" si="6"/>
        <v>0</v>
      </c>
      <c r="G45" t="str">
        <f t="shared" si="7"/>
        <v>KONTROL İÇİNDE</v>
      </c>
    </row>
    <row r="46" spans="1:8" x14ac:dyDescent="0.35">
      <c r="A46" s="21">
        <v>46099</v>
      </c>
      <c r="B46">
        <v>30</v>
      </c>
      <c r="C46">
        <v>0</v>
      </c>
      <c r="D46">
        <f t="shared" si="4"/>
        <v>0</v>
      </c>
      <c r="E46">
        <f t="shared" si="5"/>
        <v>0.23897892568303691</v>
      </c>
      <c r="F46">
        <f t="shared" si="6"/>
        <v>0</v>
      </c>
      <c r="G46" t="str">
        <f t="shared" si="7"/>
        <v>KONTROL İÇİNDE</v>
      </c>
    </row>
    <row r="47" spans="1:8" x14ac:dyDescent="0.35">
      <c r="A47" s="21">
        <v>46101</v>
      </c>
      <c r="B47">
        <v>1</v>
      </c>
      <c r="C47">
        <v>0</v>
      </c>
      <c r="D47">
        <f t="shared" si="4"/>
        <v>0</v>
      </c>
      <c r="E47">
        <f t="shared" si="5"/>
        <v>0.92534183372675827</v>
      </c>
      <c r="F47">
        <f t="shared" si="6"/>
        <v>0</v>
      </c>
      <c r="G47" t="str">
        <f t="shared" si="7"/>
        <v>KONTROL İÇİNDE</v>
      </c>
    </row>
    <row r="48" spans="1:8" x14ac:dyDescent="0.35">
      <c r="A48" s="21">
        <v>46104</v>
      </c>
      <c r="B48">
        <v>50</v>
      </c>
      <c r="C48">
        <v>30</v>
      </c>
      <c r="D48">
        <f t="shared" si="4"/>
        <v>0.6</v>
      </c>
      <c r="E48">
        <f t="shared" si="5"/>
        <v>0.2044243822523385</v>
      </c>
      <c r="F48">
        <f t="shared" si="6"/>
        <v>0</v>
      </c>
      <c r="G48" t="str">
        <f t="shared" si="7"/>
        <v xml:space="preserve"> KONTROL DIŞINDA</v>
      </c>
      <c r="H48" s="5" t="s">
        <v>26</v>
      </c>
    </row>
    <row r="49" spans="1:8" x14ac:dyDescent="0.35">
      <c r="A49" s="21">
        <v>46105</v>
      </c>
      <c r="B49">
        <v>165</v>
      </c>
      <c r="C49">
        <v>55</v>
      </c>
      <c r="D49">
        <f t="shared" si="4"/>
        <v>0.33333333333333331</v>
      </c>
      <c r="E49">
        <f t="shared" si="5"/>
        <v>0.15104572372693581</v>
      </c>
      <c r="F49">
        <f t="shared" si="6"/>
        <v>2.0310239242750161E-2</v>
      </c>
      <c r="G49" t="str">
        <f t="shared" si="7"/>
        <v xml:space="preserve"> KONTROL DIŞINDA</v>
      </c>
      <c r="H49" s="5" t="s">
        <v>26</v>
      </c>
    </row>
    <row r="50" spans="1:8" x14ac:dyDescent="0.35">
      <c r="A50" s="21">
        <v>46106</v>
      </c>
      <c r="B50">
        <v>120</v>
      </c>
      <c r="C50">
        <v>43</v>
      </c>
      <c r="D50">
        <f t="shared" si="4"/>
        <v>0.35833333333333334</v>
      </c>
      <c r="E50">
        <f t="shared" si="5"/>
        <v>0.16232845358393994</v>
      </c>
      <c r="F50">
        <f t="shared" si="6"/>
        <v>9.0275093857460215E-3</v>
      </c>
      <c r="G50" t="str">
        <f t="shared" si="7"/>
        <v xml:space="preserve"> KONTROL DIŞINDA</v>
      </c>
      <c r="H50" s="5" t="s">
        <v>26</v>
      </c>
    </row>
    <row r="51" spans="1:8" x14ac:dyDescent="0.35">
      <c r="A51" s="21">
        <v>46107</v>
      </c>
      <c r="B51">
        <v>1</v>
      </c>
      <c r="C51">
        <v>0</v>
      </c>
      <c r="D51">
        <f t="shared" si="4"/>
        <v>0</v>
      </c>
      <c r="E51">
        <f t="shared" si="5"/>
        <v>0.92534183372675827</v>
      </c>
      <c r="F51">
        <f t="shared" si="6"/>
        <v>0</v>
      </c>
      <c r="G51" t="str">
        <f t="shared" si="7"/>
        <v>KONTROL İÇİNDE</v>
      </c>
    </row>
    <row r="52" spans="1:8" x14ac:dyDescent="0.35">
      <c r="A52" s="21">
        <v>46108</v>
      </c>
      <c r="B52">
        <v>43</v>
      </c>
      <c r="C52">
        <v>14</v>
      </c>
      <c r="D52">
        <f t="shared" si="4"/>
        <v>0.32558139534883723</v>
      </c>
      <c r="E52">
        <f t="shared" si="5"/>
        <v>0.21372551851170249</v>
      </c>
      <c r="F52">
        <f t="shared" si="6"/>
        <v>0</v>
      </c>
      <c r="G52" t="str">
        <f t="shared" si="7"/>
        <v xml:space="preserve"> KONTROL DIŞINDA</v>
      </c>
      <c r="H52" s="5" t="s">
        <v>26</v>
      </c>
    </row>
    <row r="53" spans="1:8" x14ac:dyDescent="0.35">
      <c r="A53" s="21">
        <v>46111</v>
      </c>
      <c r="B53">
        <v>2</v>
      </c>
      <c r="C53">
        <v>0</v>
      </c>
      <c r="D53">
        <f t="shared" si="4"/>
        <v>0</v>
      </c>
      <c r="E53">
        <f t="shared" si="5"/>
        <v>0.67940998532232055</v>
      </c>
      <c r="F53">
        <f t="shared" si="6"/>
        <v>0</v>
      </c>
      <c r="G53" t="str">
        <f t="shared" si="7"/>
        <v>KONTROL İÇİNDE</v>
      </c>
    </row>
    <row r="54" spans="1:8" x14ac:dyDescent="0.35">
      <c r="A54" s="21">
        <v>46112</v>
      </c>
      <c r="B54">
        <v>15</v>
      </c>
      <c r="C54">
        <v>7</v>
      </c>
      <c r="D54">
        <f t="shared" si="4"/>
        <v>0.46666666666666667</v>
      </c>
      <c r="E54">
        <f t="shared" si="5"/>
        <v>0.30247825589452981</v>
      </c>
      <c r="F54">
        <f t="shared" si="6"/>
        <v>0</v>
      </c>
      <c r="G54" t="str">
        <f t="shared" si="7"/>
        <v xml:space="preserve"> KONTROL DIŞINDA</v>
      </c>
      <c r="H54" s="5" t="s">
        <v>26</v>
      </c>
    </row>
    <row r="55" spans="1:8" x14ac:dyDescent="0.35">
      <c r="A55" s="21">
        <v>46113</v>
      </c>
      <c r="B55">
        <v>2</v>
      </c>
      <c r="C55">
        <v>0</v>
      </c>
      <c r="D55">
        <f t="shared" si="4"/>
        <v>0</v>
      </c>
      <c r="E55">
        <f t="shared" si="5"/>
        <v>0.67940998532232055</v>
      </c>
      <c r="F55">
        <f t="shared" si="6"/>
        <v>0</v>
      </c>
      <c r="G55" t="str">
        <f t="shared" si="7"/>
        <v>KONTROL İÇİNDE</v>
      </c>
    </row>
    <row r="56" spans="1:8" x14ac:dyDescent="0.35">
      <c r="A56" s="21">
        <v>46115</v>
      </c>
      <c r="B56">
        <v>8</v>
      </c>
      <c r="C56">
        <v>0</v>
      </c>
      <c r="D56">
        <f t="shared" si="4"/>
        <v>0</v>
      </c>
      <c r="E56">
        <f t="shared" si="5"/>
        <v>0.38254398340358176</v>
      </c>
      <c r="F56">
        <f t="shared" si="6"/>
        <v>0</v>
      </c>
      <c r="G56" t="str">
        <f t="shared" si="7"/>
        <v>KONTROL İÇİNDE</v>
      </c>
    </row>
    <row r="57" spans="1:8" x14ac:dyDescent="0.35">
      <c r="A57" s="21">
        <v>46118</v>
      </c>
      <c r="B57">
        <v>2</v>
      </c>
      <c r="C57">
        <v>0</v>
      </c>
      <c r="D57">
        <f t="shared" si="4"/>
        <v>0</v>
      </c>
      <c r="E57">
        <f t="shared" si="5"/>
        <v>0.67940998532232055</v>
      </c>
      <c r="F57">
        <f t="shared" si="6"/>
        <v>0</v>
      </c>
      <c r="G57" t="str">
        <f t="shared" si="7"/>
        <v>KONTROL İÇİNDE</v>
      </c>
    </row>
    <row r="58" spans="1:8" x14ac:dyDescent="0.35">
      <c r="A58" s="21">
        <v>46119</v>
      </c>
      <c r="B58">
        <v>14</v>
      </c>
      <c r="C58">
        <v>0</v>
      </c>
      <c r="D58">
        <f t="shared" si="4"/>
        <v>0</v>
      </c>
      <c r="E58">
        <f t="shared" si="5"/>
        <v>0.31008758542398762</v>
      </c>
      <c r="F58">
        <f t="shared" si="6"/>
        <v>0</v>
      </c>
      <c r="G58" t="str">
        <f t="shared" si="7"/>
        <v>KONTROL İÇİNDE</v>
      </c>
    </row>
    <row r="59" spans="1:8" x14ac:dyDescent="0.35">
      <c r="A59" s="21">
        <v>46120</v>
      </c>
      <c r="B59">
        <v>8</v>
      </c>
      <c r="C59">
        <v>0</v>
      </c>
      <c r="D59">
        <f t="shared" si="4"/>
        <v>0</v>
      </c>
      <c r="E59">
        <f t="shared" si="5"/>
        <v>0.38254398340358176</v>
      </c>
      <c r="F59">
        <f t="shared" si="6"/>
        <v>0</v>
      </c>
      <c r="G59" t="str">
        <f t="shared" si="7"/>
        <v>KONTROL İÇİNDE</v>
      </c>
    </row>
    <row r="60" spans="1:8" x14ac:dyDescent="0.35">
      <c r="A60" s="21">
        <v>46121</v>
      </c>
      <c r="B60">
        <v>25</v>
      </c>
      <c r="C60">
        <v>0</v>
      </c>
      <c r="D60">
        <f t="shared" si="4"/>
        <v>0</v>
      </c>
      <c r="E60">
        <f t="shared" si="5"/>
        <v>0.25361075193322602</v>
      </c>
      <c r="F60">
        <f t="shared" si="6"/>
        <v>0</v>
      </c>
      <c r="G60" t="str">
        <f t="shared" si="7"/>
        <v>KONTROL İÇİNDE</v>
      </c>
    </row>
    <row r="61" spans="1:8" x14ac:dyDescent="0.35">
      <c r="A61" s="21">
        <v>46122</v>
      </c>
      <c r="B61">
        <v>1</v>
      </c>
      <c r="C61">
        <v>0</v>
      </c>
      <c r="D61">
        <f t="shared" si="4"/>
        <v>0</v>
      </c>
      <c r="E61">
        <f t="shared" si="5"/>
        <v>0.92534183372675827</v>
      </c>
      <c r="F61">
        <f t="shared" si="6"/>
        <v>0</v>
      </c>
      <c r="G61" t="str">
        <f t="shared" si="7"/>
        <v>KONTROL İÇİNDE</v>
      </c>
    </row>
    <row r="62" spans="1:8" x14ac:dyDescent="0.35">
      <c r="A62" s="21">
        <v>46125</v>
      </c>
      <c r="B62">
        <v>43</v>
      </c>
      <c r="C62">
        <v>0</v>
      </c>
      <c r="D62">
        <f t="shared" si="4"/>
        <v>0</v>
      </c>
      <c r="E62">
        <f t="shared" si="5"/>
        <v>0.21372551851170249</v>
      </c>
      <c r="F62">
        <f t="shared" si="6"/>
        <v>0</v>
      </c>
      <c r="G62" t="str">
        <f t="shared" si="7"/>
        <v>KONTROL İÇİNDE</v>
      </c>
    </row>
    <row r="63" spans="1:8" x14ac:dyDescent="0.35">
      <c r="A63" s="21">
        <v>46126</v>
      </c>
      <c r="B63">
        <v>14</v>
      </c>
      <c r="C63">
        <v>0</v>
      </c>
      <c r="D63">
        <f t="shared" si="4"/>
        <v>0</v>
      </c>
      <c r="E63">
        <f t="shared" si="5"/>
        <v>0.31008758542398762</v>
      </c>
      <c r="F63">
        <f t="shared" si="6"/>
        <v>0</v>
      </c>
      <c r="G63" t="str">
        <f t="shared" si="7"/>
        <v>KONTROL İÇİNDE</v>
      </c>
    </row>
    <row r="64" spans="1:8" x14ac:dyDescent="0.35">
      <c r="A64" s="21">
        <v>46127</v>
      </c>
      <c r="B64">
        <v>35</v>
      </c>
      <c r="C64">
        <v>27</v>
      </c>
      <c r="D64">
        <f t="shared" si="4"/>
        <v>0.77142857142857146</v>
      </c>
      <c r="E64">
        <f t="shared" si="5"/>
        <v>0.22760707693764123</v>
      </c>
      <c r="F64">
        <f t="shared" si="6"/>
        <v>0</v>
      </c>
      <c r="G64" t="str">
        <f t="shared" si="7"/>
        <v xml:space="preserve"> KONTROL DIŞINDA</v>
      </c>
      <c r="H64" s="5" t="s">
        <v>26</v>
      </c>
    </row>
    <row r="65" spans="1:7" x14ac:dyDescent="0.35">
      <c r="A65" s="21">
        <v>46128</v>
      </c>
      <c r="B65">
        <v>53</v>
      </c>
      <c r="C65">
        <v>0</v>
      </c>
      <c r="D65">
        <f t="shared" si="4"/>
        <v>0</v>
      </c>
      <c r="E65">
        <f t="shared" si="5"/>
        <v>0.20101468175612117</v>
      </c>
      <c r="F65">
        <f t="shared" si="6"/>
        <v>0</v>
      </c>
      <c r="G65" t="str">
        <f t="shared" si="7"/>
        <v>KONTROL İÇİNDE</v>
      </c>
    </row>
    <row r="66" spans="1:7" x14ac:dyDescent="0.35">
      <c r="A66" s="21">
        <v>46132</v>
      </c>
      <c r="B66">
        <v>8</v>
      </c>
      <c r="C66">
        <v>0</v>
      </c>
      <c r="D66">
        <f t="shared" ref="D66:D97" si="8">C66/B66</f>
        <v>0</v>
      </c>
      <c r="E66">
        <f t="shared" ref="E66:E97" si="9">$D$152+3*SQRT($D$152*(1-$D$152)/B66)</f>
        <v>0.38254398340358176</v>
      </c>
      <c r="F66">
        <f t="shared" ref="F66:F97" si="10">MAX(0,$D$152-3*SQRT($D$152*(1-$D$152)/B66))</f>
        <v>0</v>
      </c>
      <c r="G66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46133</v>
      </c>
      <c r="B67">
        <v>19</v>
      </c>
      <c r="C67">
        <v>0</v>
      </c>
      <c r="D67">
        <f t="shared" si="8"/>
        <v>0</v>
      </c>
      <c r="E67">
        <f t="shared" si="9"/>
        <v>0.27831008035150495</v>
      </c>
      <c r="F67">
        <f t="shared" si="10"/>
        <v>0</v>
      </c>
      <c r="G67" t="str">
        <f t="shared" si="11"/>
        <v>KONTROL İÇİNDE</v>
      </c>
    </row>
    <row r="68" spans="1:7" x14ac:dyDescent="0.35">
      <c r="A68" s="21">
        <v>46134</v>
      </c>
      <c r="B68">
        <v>2</v>
      </c>
      <c r="C68">
        <v>0</v>
      </c>
      <c r="D68">
        <f t="shared" si="8"/>
        <v>0</v>
      </c>
      <c r="E68">
        <f t="shared" si="9"/>
        <v>0.67940998532232055</v>
      </c>
      <c r="F68">
        <f t="shared" si="10"/>
        <v>0</v>
      </c>
      <c r="G68" t="str">
        <f t="shared" si="11"/>
        <v>KONTROL İÇİNDE</v>
      </c>
    </row>
    <row r="69" spans="1:7" x14ac:dyDescent="0.35">
      <c r="A69" s="21">
        <v>46136</v>
      </c>
      <c r="B69">
        <v>51</v>
      </c>
      <c r="C69">
        <v>0</v>
      </c>
      <c r="D69">
        <f t="shared" si="8"/>
        <v>0</v>
      </c>
      <c r="E69">
        <f t="shared" si="9"/>
        <v>0.20325443844210217</v>
      </c>
      <c r="F69">
        <f t="shared" si="10"/>
        <v>0</v>
      </c>
      <c r="G69" t="str">
        <f t="shared" si="11"/>
        <v>KONTROL İÇİNDE</v>
      </c>
    </row>
    <row r="70" spans="1:7" x14ac:dyDescent="0.35">
      <c r="A70" s="21">
        <v>46139</v>
      </c>
      <c r="B70">
        <v>22</v>
      </c>
      <c r="C70">
        <v>0</v>
      </c>
      <c r="D70">
        <f t="shared" si="8"/>
        <v>0</v>
      </c>
      <c r="E70">
        <f t="shared" si="9"/>
        <v>0.26469491628073077</v>
      </c>
      <c r="F70">
        <f t="shared" si="10"/>
        <v>0</v>
      </c>
      <c r="G70" t="str">
        <f t="shared" si="11"/>
        <v>KONTROL İÇİNDE</v>
      </c>
    </row>
    <row r="71" spans="1:7" x14ac:dyDescent="0.35">
      <c r="A71" s="21">
        <v>46140</v>
      </c>
      <c r="B71">
        <v>72</v>
      </c>
      <c r="C71">
        <v>0</v>
      </c>
      <c r="D71">
        <f t="shared" si="8"/>
        <v>0</v>
      </c>
      <c r="E71">
        <f t="shared" si="9"/>
        <v>0.18463331545775591</v>
      </c>
      <c r="F71">
        <f t="shared" si="10"/>
        <v>0</v>
      </c>
      <c r="G71" t="str">
        <f t="shared" si="11"/>
        <v>KONTROL İÇİNDE</v>
      </c>
    </row>
    <row r="72" spans="1:7" x14ac:dyDescent="0.35">
      <c r="A72" s="21">
        <v>46141</v>
      </c>
      <c r="B72">
        <v>9</v>
      </c>
      <c r="C72">
        <v>0</v>
      </c>
      <c r="D72">
        <f t="shared" si="8"/>
        <v>0</v>
      </c>
      <c r="E72">
        <f t="shared" si="9"/>
        <v>0.36556593223214806</v>
      </c>
      <c r="F72">
        <f t="shared" si="10"/>
        <v>0</v>
      </c>
      <c r="G72" t="str">
        <f t="shared" si="11"/>
        <v>KONTROL İÇİNDE</v>
      </c>
    </row>
    <row r="73" spans="1:7" x14ac:dyDescent="0.35">
      <c r="A73" s="21">
        <v>46142</v>
      </c>
      <c r="B73">
        <v>8</v>
      </c>
      <c r="C73">
        <v>0</v>
      </c>
      <c r="D73">
        <f t="shared" si="8"/>
        <v>0</v>
      </c>
      <c r="E73">
        <f t="shared" si="9"/>
        <v>0.38254398340358176</v>
      </c>
      <c r="F73">
        <f t="shared" si="10"/>
        <v>0</v>
      </c>
      <c r="G73" t="str">
        <f t="shared" si="11"/>
        <v>KONTROL İÇİNDE</v>
      </c>
    </row>
    <row r="74" spans="1:7" x14ac:dyDescent="0.35">
      <c r="A74" s="21">
        <v>46147</v>
      </c>
      <c r="B74">
        <v>1</v>
      </c>
      <c r="C74">
        <v>0</v>
      </c>
      <c r="D74">
        <f t="shared" si="8"/>
        <v>0</v>
      </c>
      <c r="E74">
        <f t="shared" si="9"/>
        <v>0.92534183372675827</v>
      </c>
      <c r="F74">
        <f t="shared" si="10"/>
        <v>0</v>
      </c>
      <c r="G74" t="str">
        <f t="shared" si="11"/>
        <v>KONTROL İÇİNDE</v>
      </c>
    </row>
    <row r="75" spans="1:7" x14ac:dyDescent="0.35">
      <c r="A75" s="21">
        <v>46148</v>
      </c>
      <c r="B75">
        <v>5</v>
      </c>
      <c r="C75">
        <v>0</v>
      </c>
      <c r="D75">
        <f t="shared" si="8"/>
        <v>0</v>
      </c>
      <c r="E75">
        <f t="shared" si="9"/>
        <v>0.46118707185729535</v>
      </c>
      <c r="F75">
        <f t="shared" si="10"/>
        <v>0</v>
      </c>
      <c r="G75" t="str">
        <f t="shared" si="11"/>
        <v>KONTROL İÇİNDE</v>
      </c>
    </row>
    <row r="76" spans="1:7" x14ac:dyDescent="0.35">
      <c r="A76" s="21">
        <v>46149</v>
      </c>
      <c r="B76">
        <v>6</v>
      </c>
      <c r="C76">
        <v>0</v>
      </c>
      <c r="D76">
        <f t="shared" si="8"/>
        <v>0</v>
      </c>
      <c r="E76">
        <f t="shared" si="9"/>
        <v>0.42846931372690655</v>
      </c>
      <c r="F76">
        <f t="shared" si="10"/>
        <v>0</v>
      </c>
      <c r="G76" t="str">
        <f t="shared" si="11"/>
        <v>KONTROL İÇİNDE</v>
      </c>
    </row>
    <row r="77" spans="1:7" x14ac:dyDescent="0.35">
      <c r="A77" s="21">
        <v>46150</v>
      </c>
      <c r="B77">
        <v>2</v>
      </c>
      <c r="C77">
        <v>0</v>
      </c>
      <c r="D77">
        <f t="shared" si="8"/>
        <v>0</v>
      </c>
      <c r="E77">
        <f t="shared" si="9"/>
        <v>0.67940998532232055</v>
      </c>
      <c r="F77">
        <f t="shared" si="10"/>
        <v>0</v>
      </c>
      <c r="G77" t="str">
        <f t="shared" si="11"/>
        <v>KONTROL İÇİNDE</v>
      </c>
    </row>
    <row r="78" spans="1:7" x14ac:dyDescent="0.35">
      <c r="A78" s="21">
        <v>46153</v>
      </c>
      <c r="B78">
        <v>1</v>
      </c>
      <c r="C78">
        <v>0</v>
      </c>
      <c r="D78">
        <f t="shared" si="8"/>
        <v>0</v>
      </c>
      <c r="E78">
        <f t="shared" si="9"/>
        <v>0.92534183372675827</v>
      </c>
      <c r="F78">
        <f t="shared" si="10"/>
        <v>0</v>
      </c>
      <c r="G78" t="str">
        <f t="shared" si="11"/>
        <v>KONTROL İÇİNDE</v>
      </c>
    </row>
    <row r="79" spans="1:7" x14ac:dyDescent="0.35">
      <c r="A79" s="21">
        <v>46155</v>
      </c>
      <c r="B79">
        <v>15</v>
      </c>
      <c r="C79">
        <v>2</v>
      </c>
      <c r="D79">
        <f t="shared" si="8"/>
        <v>0.13333333333333333</v>
      </c>
      <c r="E79">
        <f t="shared" si="9"/>
        <v>0.30247825589452981</v>
      </c>
      <c r="F79">
        <f t="shared" si="10"/>
        <v>0</v>
      </c>
      <c r="G79" t="str">
        <f t="shared" si="11"/>
        <v>KONTROL İÇİNDE</v>
      </c>
    </row>
    <row r="80" spans="1:7" x14ac:dyDescent="0.35">
      <c r="A80" s="21">
        <v>46156</v>
      </c>
      <c r="B80">
        <v>70</v>
      </c>
      <c r="C80">
        <v>0</v>
      </c>
      <c r="D80">
        <f t="shared" si="8"/>
        <v>0</v>
      </c>
      <c r="E80">
        <f t="shared" si="9"/>
        <v>0.18603700732718942</v>
      </c>
      <c r="F80">
        <f t="shared" si="10"/>
        <v>0</v>
      </c>
      <c r="G80" t="str">
        <f t="shared" si="11"/>
        <v>KONTROL İÇİNDE</v>
      </c>
    </row>
    <row r="81" spans="1:8" x14ac:dyDescent="0.35">
      <c r="A81" s="21">
        <v>46160</v>
      </c>
      <c r="B81">
        <v>3</v>
      </c>
      <c r="C81">
        <v>0</v>
      </c>
      <c r="D81">
        <f t="shared" si="8"/>
        <v>0</v>
      </c>
      <c r="E81">
        <f t="shared" si="9"/>
        <v>0.57045813260551093</v>
      </c>
      <c r="F81">
        <f t="shared" si="10"/>
        <v>0</v>
      </c>
      <c r="G81" t="str">
        <f t="shared" si="11"/>
        <v>KONTROL İÇİNDE</v>
      </c>
    </row>
    <row r="82" spans="1:8" x14ac:dyDescent="0.35">
      <c r="A82" s="21">
        <v>46163</v>
      </c>
      <c r="B82">
        <v>2</v>
      </c>
      <c r="C82">
        <v>0</v>
      </c>
      <c r="D82">
        <f t="shared" si="8"/>
        <v>0</v>
      </c>
      <c r="E82">
        <f t="shared" si="9"/>
        <v>0.67940998532232055</v>
      </c>
      <c r="F82">
        <f t="shared" si="10"/>
        <v>0</v>
      </c>
      <c r="G82" t="str">
        <f t="shared" si="11"/>
        <v>KONTROL İÇİNDE</v>
      </c>
    </row>
    <row r="83" spans="1:8" x14ac:dyDescent="0.35">
      <c r="A83" s="21">
        <v>46174</v>
      </c>
      <c r="B83">
        <v>50</v>
      </c>
      <c r="C83">
        <v>12</v>
      </c>
      <c r="D83">
        <f t="shared" si="8"/>
        <v>0.24</v>
      </c>
      <c r="E83">
        <f t="shared" si="9"/>
        <v>0.2044243822523385</v>
      </c>
      <c r="F83">
        <f t="shared" si="10"/>
        <v>0</v>
      </c>
      <c r="G83" t="str">
        <f t="shared" si="11"/>
        <v xml:space="preserve"> KONTROL DIŞINDA</v>
      </c>
      <c r="H83" s="5" t="s">
        <v>26</v>
      </c>
    </row>
    <row r="84" spans="1:8" x14ac:dyDescent="0.35">
      <c r="A84" s="21">
        <v>46176</v>
      </c>
      <c r="B84">
        <v>8</v>
      </c>
      <c r="C84">
        <v>0</v>
      </c>
      <c r="D84">
        <f t="shared" si="8"/>
        <v>0</v>
      </c>
      <c r="E84">
        <f t="shared" si="9"/>
        <v>0.38254398340358176</v>
      </c>
      <c r="F84">
        <f t="shared" si="10"/>
        <v>0</v>
      </c>
      <c r="G84" t="str">
        <f t="shared" si="11"/>
        <v>KONTROL İÇİNDE</v>
      </c>
    </row>
    <row r="85" spans="1:8" x14ac:dyDescent="0.35">
      <c r="A85" s="21">
        <v>46177</v>
      </c>
      <c r="B85">
        <v>18</v>
      </c>
      <c r="C85">
        <v>0</v>
      </c>
      <c r="D85">
        <f t="shared" si="8"/>
        <v>0</v>
      </c>
      <c r="E85">
        <f t="shared" si="9"/>
        <v>0.28358864943066886</v>
      </c>
      <c r="F85">
        <f t="shared" si="10"/>
        <v>0</v>
      </c>
      <c r="G85" t="str">
        <f t="shared" si="11"/>
        <v>KONTROL İÇİNDE</v>
      </c>
    </row>
    <row r="86" spans="1:8" x14ac:dyDescent="0.35">
      <c r="A86" s="21">
        <v>46178</v>
      </c>
      <c r="B86">
        <v>6</v>
      </c>
      <c r="C86">
        <v>0</v>
      </c>
      <c r="D86">
        <f t="shared" si="8"/>
        <v>0</v>
      </c>
      <c r="E86">
        <f t="shared" si="9"/>
        <v>0.42846931372690655</v>
      </c>
      <c r="F86">
        <f t="shared" si="10"/>
        <v>0</v>
      </c>
      <c r="G86" t="str">
        <f t="shared" si="11"/>
        <v>KONTROL İÇİNDE</v>
      </c>
    </row>
    <row r="87" spans="1:8" x14ac:dyDescent="0.35">
      <c r="A87" s="21">
        <v>46181</v>
      </c>
      <c r="B87">
        <v>35</v>
      </c>
      <c r="C87">
        <v>0</v>
      </c>
      <c r="D87">
        <f t="shared" si="8"/>
        <v>0</v>
      </c>
      <c r="E87">
        <f t="shared" si="9"/>
        <v>0.22760707693764123</v>
      </c>
      <c r="F87">
        <f t="shared" si="10"/>
        <v>0</v>
      </c>
      <c r="G87" t="str">
        <f t="shared" si="11"/>
        <v>KONTROL İÇİNDE</v>
      </c>
    </row>
    <row r="88" spans="1:8" x14ac:dyDescent="0.35">
      <c r="A88" s="21">
        <v>46182</v>
      </c>
      <c r="B88">
        <v>13</v>
      </c>
      <c r="C88">
        <v>0</v>
      </c>
      <c r="D88">
        <f t="shared" si="8"/>
        <v>0</v>
      </c>
      <c r="E88">
        <f t="shared" si="9"/>
        <v>0.31855883328575407</v>
      </c>
      <c r="F88">
        <f t="shared" si="10"/>
        <v>0</v>
      </c>
      <c r="G88" t="str">
        <f t="shared" si="11"/>
        <v>KONTROL İÇİNDE</v>
      </c>
    </row>
    <row r="89" spans="1:8" x14ac:dyDescent="0.35">
      <c r="A89" s="21">
        <v>46183</v>
      </c>
      <c r="B89">
        <v>67</v>
      </c>
      <c r="C89">
        <v>0</v>
      </c>
      <c r="D89">
        <f t="shared" si="8"/>
        <v>0</v>
      </c>
      <c r="E89">
        <f t="shared" si="9"/>
        <v>0.18825924775931255</v>
      </c>
      <c r="F89">
        <f t="shared" si="10"/>
        <v>0</v>
      </c>
      <c r="G89" t="str">
        <f t="shared" si="11"/>
        <v>KONTROL İÇİNDE</v>
      </c>
    </row>
    <row r="90" spans="1:8" x14ac:dyDescent="0.35">
      <c r="A90" s="21">
        <v>46184</v>
      </c>
      <c r="B90">
        <v>147</v>
      </c>
      <c r="C90">
        <v>0</v>
      </c>
      <c r="D90">
        <f t="shared" si="8"/>
        <v>0</v>
      </c>
      <c r="E90">
        <f t="shared" si="9"/>
        <v>0.15493228878779555</v>
      </c>
      <c r="F90">
        <f t="shared" si="10"/>
        <v>1.6423674181890419E-2</v>
      </c>
      <c r="G90" t="str">
        <f t="shared" si="11"/>
        <v xml:space="preserve"> KONTROL DIŞINDA</v>
      </c>
      <c r="H90" s="5"/>
    </row>
    <row r="91" spans="1:8" x14ac:dyDescent="0.35">
      <c r="A91" s="21">
        <v>46185</v>
      </c>
      <c r="B91">
        <v>4</v>
      </c>
      <c r="C91">
        <v>0</v>
      </c>
      <c r="D91">
        <f t="shared" si="8"/>
        <v>0</v>
      </c>
      <c r="E91">
        <f t="shared" si="9"/>
        <v>0.50550990760580061</v>
      </c>
      <c r="F91">
        <f t="shared" si="10"/>
        <v>0</v>
      </c>
      <c r="G91" t="str">
        <f t="shared" si="11"/>
        <v>KONTROL İÇİNDE</v>
      </c>
    </row>
    <row r="92" spans="1:8" x14ac:dyDescent="0.35">
      <c r="A92" s="21">
        <v>46186</v>
      </c>
      <c r="B92">
        <v>15</v>
      </c>
      <c r="C92">
        <v>5</v>
      </c>
      <c r="D92">
        <f t="shared" si="8"/>
        <v>0.33333333333333331</v>
      </c>
      <c r="E92">
        <f t="shared" si="9"/>
        <v>0.30247825589452981</v>
      </c>
      <c r="F92">
        <f t="shared" si="10"/>
        <v>0</v>
      </c>
      <c r="G92" t="str">
        <f t="shared" si="11"/>
        <v xml:space="preserve"> KONTROL DIŞINDA</v>
      </c>
      <c r="H92" s="5" t="s">
        <v>26</v>
      </c>
    </row>
    <row r="93" spans="1:8" x14ac:dyDescent="0.35">
      <c r="A93" s="21">
        <v>46188</v>
      </c>
      <c r="B93">
        <v>5</v>
      </c>
      <c r="C93">
        <v>0</v>
      </c>
      <c r="D93">
        <f t="shared" si="8"/>
        <v>0</v>
      </c>
      <c r="E93">
        <f t="shared" si="9"/>
        <v>0.46118707185729535</v>
      </c>
      <c r="F93">
        <f t="shared" si="10"/>
        <v>0</v>
      </c>
      <c r="G93" t="str">
        <f t="shared" si="11"/>
        <v>KONTROL İÇİNDE</v>
      </c>
    </row>
    <row r="94" spans="1:8" x14ac:dyDescent="0.35">
      <c r="A94" s="21">
        <v>46189</v>
      </c>
      <c r="B94">
        <v>19</v>
      </c>
      <c r="C94">
        <v>0</v>
      </c>
      <c r="D94">
        <f t="shared" si="8"/>
        <v>0</v>
      </c>
      <c r="E94">
        <f t="shared" si="9"/>
        <v>0.27831008035150495</v>
      </c>
      <c r="F94">
        <f t="shared" si="10"/>
        <v>0</v>
      </c>
      <c r="G94" t="str">
        <f t="shared" si="11"/>
        <v>KONTROL İÇİNDE</v>
      </c>
    </row>
    <row r="95" spans="1:8" x14ac:dyDescent="0.35">
      <c r="A95" s="21">
        <v>46190</v>
      </c>
      <c r="B95">
        <v>9</v>
      </c>
      <c r="C95">
        <v>0</v>
      </c>
      <c r="D95">
        <f t="shared" si="8"/>
        <v>0</v>
      </c>
      <c r="E95">
        <f t="shared" si="9"/>
        <v>0.36556593223214806</v>
      </c>
      <c r="F95">
        <f t="shared" si="10"/>
        <v>0</v>
      </c>
      <c r="G95" t="str">
        <f t="shared" si="11"/>
        <v>KONTROL İÇİNDE</v>
      </c>
    </row>
    <row r="96" spans="1:8" x14ac:dyDescent="0.35">
      <c r="A96" s="21">
        <v>46191</v>
      </c>
      <c r="B96">
        <v>7</v>
      </c>
      <c r="C96">
        <v>0</v>
      </c>
      <c r="D96">
        <f t="shared" si="8"/>
        <v>0</v>
      </c>
      <c r="E96">
        <f t="shared" si="9"/>
        <v>0.40304108690235607</v>
      </c>
      <c r="F96">
        <f t="shared" si="10"/>
        <v>0</v>
      </c>
      <c r="G96" t="str">
        <f t="shared" si="11"/>
        <v>KONTROL İÇİNDE</v>
      </c>
    </row>
    <row r="97" spans="1:8" x14ac:dyDescent="0.35">
      <c r="A97" s="21">
        <v>46192</v>
      </c>
      <c r="B97">
        <v>30</v>
      </c>
      <c r="C97">
        <v>0</v>
      </c>
      <c r="D97">
        <f t="shared" si="8"/>
        <v>0</v>
      </c>
      <c r="E97">
        <f t="shared" si="9"/>
        <v>0.23897892568303691</v>
      </c>
      <c r="F97">
        <f t="shared" si="10"/>
        <v>0</v>
      </c>
      <c r="G97" t="str">
        <f t="shared" si="11"/>
        <v>KONTROL İÇİNDE</v>
      </c>
    </row>
    <row r="98" spans="1:8" x14ac:dyDescent="0.35">
      <c r="A98" s="21">
        <v>46195</v>
      </c>
      <c r="B98">
        <v>3</v>
      </c>
      <c r="C98">
        <v>0</v>
      </c>
      <c r="D98">
        <f t="shared" ref="D98:D129" si="12">C98/B98</f>
        <v>0</v>
      </c>
      <c r="E98">
        <f t="shared" ref="E98:E129" si="13">$D$152+3*SQRT($D$152*(1-$D$152)/B98)</f>
        <v>0.57045813260551093</v>
      </c>
      <c r="F98">
        <f t="shared" ref="F98:F129" si="14">MAX(0,$D$152-3*SQRT($D$152*(1-$D$152)/B98))</f>
        <v>0</v>
      </c>
      <c r="G98" t="str">
        <f t="shared" ref="G98:G129" si="15">IF(AND(D98&lt;=E98,D98&gt;=F98),"KONTROL İÇİNDE"," KONTROL DIŞINDA")</f>
        <v>KONTROL İÇİNDE</v>
      </c>
    </row>
    <row r="99" spans="1:8" x14ac:dyDescent="0.35">
      <c r="A99" s="21">
        <v>46196</v>
      </c>
      <c r="B99">
        <v>68</v>
      </c>
      <c r="C99">
        <v>0</v>
      </c>
      <c r="D99">
        <f t="shared" si="12"/>
        <v>0</v>
      </c>
      <c r="E99">
        <f t="shared" si="13"/>
        <v>0.18750218009679703</v>
      </c>
      <c r="F99">
        <f t="shared" si="14"/>
        <v>0</v>
      </c>
      <c r="G99" t="str">
        <f t="shared" si="15"/>
        <v>KONTROL İÇİNDE</v>
      </c>
    </row>
    <row r="100" spans="1:8" x14ac:dyDescent="0.35">
      <c r="A100" s="21">
        <v>46197</v>
      </c>
      <c r="B100">
        <v>12</v>
      </c>
      <c r="C100">
        <v>0</v>
      </c>
      <c r="D100">
        <f t="shared" si="12"/>
        <v>0</v>
      </c>
      <c r="E100">
        <f t="shared" si="13"/>
        <v>0.32806805704517694</v>
      </c>
      <c r="F100">
        <f t="shared" si="14"/>
        <v>0</v>
      </c>
      <c r="G100" t="str">
        <f t="shared" si="15"/>
        <v>KONTROL İÇİNDE</v>
      </c>
    </row>
    <row r="101" spans="1:8" x14ac:dyDescent="0.35">
      <c r="A101" s="21">
        <v>46198</v>
      </c>
      <c r="B101">
        <v>72</v>
      </c>
      <c r="C101">
        <v>15</v>
      </c>
      <c r="D101">
        <f t="shared" si="12"/>
        <v>0.20833333333333334</v>
      </c>
      <c r="E101">
        <f t="shared" si="13"/>
        <v>0.18463331545775591</v>
      </c>
      <c r="F101">
        <f t="shared" si="14"/>
        <v>0</v>
      </c>
      <c r="G101" t="str">
        <f t="shared" si="15"/>
        <v xml:space="preserve"> KONTROL DIŞINDA</v>
      </c>
      <c r="H101" s="5" t="s">
        <v>26</v>
      </c>
    </row>
    <row r="102" spans="1:8" x14ac:dyDescent="0.35">
      <c r="A102" s="21">
        <v>46199</v>
      </c>
      <c r="B102">
        <v>3</v>
      </c>
      <c r="C102">
        <v>0</v>
      </c>
      <c r="D102">
        <f t="shared" si="12"/>
        <v>0</v>
      </c>
      <c r="E102">
        <f t="shared" si="13"/>
        <v>0.57045813260551093</v>
      </c>
      <c r="F102">
        <f t="shared" si="14"/>
        <v>0</v>
      </c>
      <c r="G102" t="str">
        <f t="shared" si="15"/>
        <v>KONTROL İÇİNDE</v>
      </c>
    </row>
    <row r="103" spans="1:8" x14ac:dyDescent="0.35">
      <c r="A103" s="21">
        <v>46203</v>
      </c>
      <c r="B103">
        <v>12</v>
      </c>
      <c r="C103">
        <v>0</v>
      </c>
      <c r="D103">
        <f t="shared" si="12"/>
        <v>0</v>
      </c>
      <c r="E103">
        <f t="shared" si="13"/>
        <v>0.32806805704517694</v>
      </c>
      <c r="F103">
        <f t="shared" si="14"/>
        <v>0</v>
      </c>
      <c r="G103" t="str">
        <f t="shared" si="15"/>
        <v>KONTROL İÇİNDE</v>
      </c>
    </row>
    <row r="104" spans="1:8" x14ac:dyDescent="0.35">
      <c r="A104" s="21">
        <v>46205</v>
      </c>
      <c r="B104">
        <v>16</v>
      </c>
      <c r="C104">
        <v>0</v>
      </c>
      <c r="D104">
        <f t="shared" si="12"/>
        <v>0</v>
      </c>
      <c r="E104">
        <f t="shared" si="13"/>
        <v>0.29559394454532184</v>
      </c>
      <c r="F104">
        <f t="shared" si="14"/>
        <v>0</v>
      </c>
      <c r="G104" t="str">
        <f t="shared" si="15"/>
        <v>KONTROL İÇİNDE</v>
      </c>
    </row>
    <row r="105" spans="1:8" x14ac:dyDescent="0.35">
      <c r="A105" s="21">
        <v>46206</v>
      </c>
      <c r="B105">
        <v>27</v>
      </c>
      <c r="C105">
        <v>0</v>
      </c>
      <c r="D105">
        <f t="shared" si="12"/>
        <v>0</v>
      </c>
      <c r="E105">
        <f t="shared" si="13"/>
        <v>0.24727136519173232</v>
      </c>
      <c r="F105">
        <f t="shared" si="14"/>
        <v>0</v>
      </c>
      <c r="G105" t="str">
        <f t="shared" si="15"/>
        <v>KONTROL İÇİNDE</v>
      </c>
    </row>
    <row r="106" spans="1:8" x14ac:dyDescent="0.35">
      <c r="A106" s="21">
        <v>46207</v>
      </c>
      <c r="B106">
        <v>224</v>
      </c>
      <c r="C106">
        <v>0</v>
      </c>
      <c r="D106">
        <f t="shared" si="12"/>
        <v>0</v>
      </c>
      <c r="E106">
        <f t="shared" si="13"/>
        <v>0.14178038246962915</v>
      </c>
      <c r="F106">
        <f t="shared" si="14"/>
        <v>2.9575580500056819E-2</v>
      </c>
      <c r="G106" t="str">
        <f t="shared" si="15"/>
        <v xml:space="preserve"> KONTROL DIŞINDA</v>
      </c>
      <c r="H106" s="5" t="s">
        <v>26</v>
      </c>
    </row>
    <row r="107" spans="1:8" x14ac:dyDescent="0.35">
      <c r="A107" s="21">
        <v>46209</v>
      </c>
      <c r="B107">
        <v>174</v>
      </c>
      <c r="C107">
        <v>31</v>
      </c>
      <c r="D107">
        <f t="shared" si="12"/>
        <v>0.17816091954022989</v>
      </c>
      <c r="E107">
        <f t="shared" si="13"/>
        <v>0.14933273384969514</v>
      </c>
      <c r="F107">
        <f t="shared" si="14"/>
        <v>2.2023229119990842E-2</v>
      </c>
      <c r="G107" t="str">
        <f t="shared" si="15"/>
        <v xml:space="preserve"> KONTROL DIŞINDA</v>
      </c>
      <c r="H107" s="5" t="s">
        <v>26</v>
      </c>
    </row>
    <row r="108" spans="1:8" x14ac:dyDescent="0.35">
      <c r="A108" s="21">
        <v>46210</v>
      </c>
      <c r="B108">
        <v>11</v>
      </c>
      <c r="C108">
        <v>0</v>
      </c>
      <c r="D108">
        <f t="shared" si="12"/>
        <v>0</v>
      </c>
      <c r="E108">
        <f t="shared" si="13"/>
        <v>0.33884615856764755</v>
      </c>
      <c r="F108">
        <f t="shared" si="14"/>
        <v>0</v>
      </c>
      <c r="G108" t="str">
        <f t="shared" si="15"/>
        <v>KONTROL İÇİNDE</v>
      </c>
    </row>
    <row r="109" spans="1:8" x14ac:dyDescent="0.35">
      <c r="A109" s="21">
        <v>46211</v>
      </c>
      <c r="B109">
        <v>60</v>
      </c>
      <c r="C109">
        <v>0</v>
      </c>
      <c r="D109">
        <f t="shared" si="12"/>
        <v>0</v>
      </c>
      <c r="E109">
        <f t="shared" si="13"/>
        <v>0.19407811868968641</v>
      </c>
      <c r="F109">
        <f t="shared" si="14"/>
        <v>0</v>
      </c>
      <c r="G109" t="str">
        <f t="shared" si="15"/>
        <v>KONTROL İÇİNDE</v>
      </c>
    </row>
    <row r="110" spans="1:8" x14ac:dyDescent="0.35">
      <c r="A110" s="21">
        <v>46212</v>
      </c>
      <c r="B110">
        <v>41</v>
      </c>
      <c r="C110">
        <v>0</v>
      </c>
      <c r="D110">
        <f t="shared" si="12"/>
        <v>0</v>
      </c>
      <c r="E110">
        <f t="shared" si="13"/>
        <v>0.21681144401134156</v>
      </c>
      <c r="F110">
        <f t="shared" si="14"/>
        <v>0</v>
      </c>
      <c r="G110" t="str">
        <f t="shared" si="15"/>
        <v>KONTROL İÇİNDE</v>
      </c>
    </row>
    <row r="111" spans="1:8" x14ac:dyDescent="0.35">
      <c r="A111" s="21">
        <v>46213</v>
      </c>
      <c r="B111">
        <v>4</v>
      </c>
      <c r="C111">
        <v>0</v>
      </c>
      <c r="D111">
        <f t="shared" si="12"/>
        <v>0</v>
      </c>
      <c r="E111">
        <f t="shared" si="13"/>
        <v>0.50550990760580061</v>
      </c>
      <c r="F111">
        <f t="shared" si="14"/>
        <v>0</v>
      </c>
      <c r="G111" t="str">
        <f t="shared" si="15"/>
        <v>KONTROL İÇİNDE</v>
      </c>
    </row>
    <row r="112" spans="1:8" x14ac:dyDescent="0.35">
      <c r="A112" s="21">
        <v>46216</v>
      </c>
      <c r="B112">
        <v>103</v>
      </c>
      <c r="C112">
        <v>10</v>
      </c>
      <c r="D112">
        <f t="shared" si="12"/>
        <v>9.7087378640776698E-2</v>
      </c>
      <c r="E112">
        <f t="shared" si="13"/>
        <v>0.1684125192278606</v>
      </c>
      <c r="F112">
        <f t="shared" si="14"/>
        <v>2.9434437418253689E-3</v>
      </c>
      <c r="G112" t="str">
        <f t="shared" si="15"/>
        <v>KONTROL İÇİNDE</v>
      </c>
    </row>
    <row r="113" spans="1:8" x14ac:dyDescent="0.35">
      <c r="A113" s="21">
        <v>46217</v>
      </c>
      <c r="B113">
        <v>8</v>
      </c>
      <c r="C113">
        <v>0</v>
      </c>
      <c r="D113">
        <f t="shared" si="12"/>
        <v>0</v>
      </c>
      <c r="E113">
        <f t="shared" si="13"/>
        <v>0.38254398340358176</v>
      </c>
      <c r="F113">
        <f t="shared" si="14"/>
        <v>0</v>
      </c>
      <c r="G113" t="str">
        <f t="shared" si="15"/>
        <v>KONTROL İÇİNDE</v>
      </c>
    </row>
    <row r="114" spans="1:8" x14ac:dyDescent="0.35">
      <c r="A114" s="21">
        <v>46219</v>
      </c>
      <c r="B114">
        <v>40</v>
      </c>
      <c r="C114">
        <v>0</v>
      </c>
      <c r="D114">
        <f t="shared" si="12"/>
        <v>0</v>
      </c>
      <c r="E114">
        <f t="shared" si="13"/>
        <v>0.21844049358461956</v>
      </c>
      <c r="F114">
        <f t="shared" si="14"/>
        <v>0</v>
      </c>
      <c r="G114" t="str">
        <f t="shared" si="15"/>
        <v>KONTROL İÇİNDE</v>
      </c>
    </row>
    <row r="115" spans="1:8" x14ac:dyDescent="0.35">
      <c r="A115" s="21">
        <v>46220</v>
      </c>
      <c r="B115">
        <v>9</v>
      </c>
      <c r="C115">
        <v>0</v>
      </c>
      <c r="D115">
        <f t="shared" si="12"/>
        <v>0</v>
      </c>
      <c r="E115">
        <f t="shared" si="13"/>
        <v>0.36556593223214806</v>
      </c>
      <c r="F115">
        <f t="shared" si="14"/>
        <v>0</v>
      </c>
      <c r="G115" t="str">
        <f t="shared" si="15"/>
        <v>KONTROL İÇİNDE</v>
      </c>
    </row>
    <row r="116" spans="1:8" x14ac:dyDescent="0.35">
      <c r="A116" s="21">
        <v>46221</v>
      </c>
      <c r="B116">
        <v>3</v>
      </c>
      <c r="C116">
        <v>0</v>
      </c>
      <c r="D116">
        <f t="shared" si="12"/>
        <v>0</v>
      </c>
      <c r="E116">
        <f t="shared" si="13"/>
        <v>0.57045813260551093</v>
      </c>
      <c r="F116">
        <f t="shared" si="14"/>
        <v>0</v>
      </c>
      <c r="G116" t="str">
        <f t="shared" si="15"/>
        <v>KONTROL İÇİNDE</v>
      </c>
    </row>
    <row r="117" spans="1:8" x14ac:dyDescent="0.35">
      <c r="A117" s="21">
        <v>46223</v>
      </c>
      <c r="B117">
        <v>42</v>
      </c>
      <c r="C117">
        <v>0</v>
      </c>
      <c r="D117">
        <f t="shared" si="12"/>
        <v>0</v>
      </c>
      <c r="E117">
        <f t="shared" si="13"/>
        <v>0.21524092672784548</v>
      </c>
      <c r="F117">
        <f t="shared" si="14"/>
        <v>0</v>
      </c>
      <c r="G117" t="str">
        <f t="shared" si="15"/>
        <v>KONTROL İÇİNDE</v>
      </c>
    </row>
    <row r="118" spans="1:8" x14ac:dyDescent="0.35">
      <c r="A118" s="21">
        <v>46224</v>
      </c>
      <c r="B118">
        <v>172</v>
      </c>
      <c r="C118">
        <v>0</v>
      </c>
      <c r="D118">
        <f t="shared" si="12"/>
        <v>0</v>
      </c>
      <c r="E118">
        <f t="shared" si="13"/>
        <v>0.14970174999827274</v>
      </c>
      <c r="F118">
        <f t="shared" si="14"/>
        <v>2.1654212971413234E-2</v>
      </c>
      <c r="G118" t="str">
        <f t="shared" si="15"/>
        <v xml:space="preserve"> KONTROL DIŞINDA</v>
      </c>
      <c r="H118" s="5"/>
    </row>
    <row r="119" spans="1:8" x14ac:dyDescent="0.35">
      <c r="A119" s="21">
        <v>46225</v>
      </c>
      <c r="B119">
        <v>4</v>
      </c>
      <c r="C119">
        <v>0</v>
      </c>
      <c r="D119">
        <f t="shared" si="12"/>
        <v>0</v>
      </c>
      <c r="E119">
        <f t="shared" si="13"/>
        <v>0.50550990760580061</v>
      </c>
      <c r="F119">
        <f t="shared" si="14"/>
        <v>0</v>
      </c>
      <c r="G119" t="str">
        <f t="shared" si="15"/>
        <v>KONTROL İÇİNDE</v>
      </c>
    </row>
    <row r="120" spans="1:8" x14ac:dyDescent="0.35">
      <c r="A120" s="21">
        <v>46226</v>
      </c>
      <c r="B120">
        <v>24</v>
      </c>
      <c r="C120">
        <v>0</v>
      </c>
      <c r="D120">
        <f t="shared" si="12"/>
        <v>0</v>
      </c>
      <c r="E120">
        <f t="shared" si="13"/>
        <v>0.25707364760587481</v>
      </c>
      <c r="F120">
        <f t="shared" si="14"/>
        <v>0</v>
      </c>
      <c r="G120" t="str">
        <f t="shared" si="15"/>
        <v>KONTROL İÇİNDE</v>
      </c>
    </row>
    <row r="121" spans="1:8" x14ac:dyDescent="0.35">
      <c r="A121" s="21">
        <v>46227</v>
      </c>
      <c r="B121">
        <v>22</v>
      </c>
      <c r="C121">
        <v>0</v>
      </c>
      <c r="D121">
        <f t="shared" si="12"/>
        <v>0</v>
      </c>
      <c r="E121">
        <f t="shared" si="13"/>
        <v>0.26469491628073077</v>
      </c>
      <c r="F121">
        <f t="shared" si="14"/>
        <v>0</v>
      </c>
      <c r="G121" t="str">
        <f t="shared" si="15"/>
        <v>KONTROL İÇİNDE</v>
      </c>
    </row>
    <row r="122" spans="1:8" x14ac:dyDescent="0.35">
      <c r="A122" s="21">
        <v>46228</v>
      </c>
      <c r="B122">
        <v>2</v>
      </c>
      <c r="C122">
        <v>0</v>
      </c>
      <c r="D122">
        <f t="shared" si="12"/>
        <v>0</v>
      </c>
      <c r="E122">
        <f t="shared" si="13"/>
        <v>0.67940998532232055</v>
      </c>
      <c r="F122">
        <f t="shared" si="14"/>
        <v>0</v>
      </c>
      <c r="G122" t="str">
        <f t="shared" si="15"/>
        <v>KONTROL İÇİNDE</v>
      </c>
    </row>
    <row r="123" spans="1:8" x14ac:dyDescent="0.35">
      <c r="A123" s="21">
        <v>46229</v>
      </c>
      <c r="B123">
        <v>1</v>
      </c>
      <c r="C123">
        <v>0</v>
      </c>
      <c r="D123">
        <f t="shared" si="12"/>
        <v>0</v>
      </c>
      <c r="E123">
        <f t="shared" si="13"/>
        <v>0.92534183372675827</v>
      </c>
      <c r="F123">
        <f t="shared" si="14"/>
        <v>0</v>
      </c>
      <c r="G123" t="str">
        <f t="shared" si="15"/>
        <v>KONTROL İÇİNDE</v>
      </c>
    </row>
    <row r="124" spans="1:8" x14ac:dyDescent="0.35">
      <c r="A124" s="21">
        <v>46230</v>
      </c>
      <c r="B124">
        <v>30</v>
      </c>
      <c r="C124">
        <v>0</v>
      </c>
      <c r="D124">
        <f t="shared" si="12"/>
        <v>0</v>
      </c>
      <c r="E124">
        <f t="shared" si="13"/>
        <v>0.23897892568303691</v>
      </c>
      <c r="F124">
        <f t="shared" si="14"/>
        <v>0</v>
      </c>
      <c r="G124" t="str">
        <f t="shared" si="15"/>
        <v>KONTROL İÇİNDE</v>
      </c>
    </row>
    <row r="125" spans="1:8" x14ac:dyDescent="0.35">
      <c r="A125" s="21">
        <v>46231</v>
      </c>
      <c r="B125">
        <v>7</v>
      </c>
      <c r="C125">
        <v>0</v>
      </c>
      <c r="D125">
        <f t="shared" si="12"/>
        <v>0</v>
      </c>
      <c r="E125">
        <f t="shared" si="13"/>
        <v>0.40304108690235607</v>
      </c>
      <c r="F125">
        <f t="shared" si="14"/>
        <v>0</v>
      </c>
      <c r="G125" t="str">
        <f t="shared" si="15"/>
        <v>KONTROL İÇİNDE</v>
      </c>
    </row>
    <row r="126" spans="1:8" x14ac:dyDescent="0.35">
      <c r="A126" s="21">
        <v>46232</v>
      </c>
      <c r="B126">
        <v>20</v>
      </c>
      <c r="C126">
        <v>0</v>
      </c>
      <c r="D126">
        <f t="shared" si="12"/>
        <v>0</v>
      </c>
      <c r="E126">
        <f t="shared" si="13"/>
        <v>0.27343252667106921</v>
      </c>
      <c r="F126">
        <f t="shared" si="14"/>
        <v>0</v>
      </c>
      <c r="G126" t="str">
        <f t="shared" si="15"/>
        <v>KONTROL İÇİNDE</v>
      </c>
    </row>
    <row r="127" spans="1:8" x14ac:dyDescent="0.35">
      <c r="A127" s="21">
        <v>46233</v>
      </c>
      <c r="B127">
        <v>20</v>
      </c>
      <c r="C127">
        <v>0</v>
      </c>
      <c r="D127">
        <f t="shared" si="12"/>
        <v>0</v>
      </c>
      <c r="E127">
        <f t="shared" si="13"/>
        <v>0.27343252667106921</v>
      </c>
      <c r="F127">
        <f t="shared" si="14"/>
        <v>0</v>
      </c>
      <c r="G127" t="str">
        <f t="shared" si="15"/>
        <v>KONTROL İÇİNDE</v>
      </c>
    </row>
    <row r="128" spans="1:8" x14ac:dyDescent="0.35">
      <c r="A128" s="21">
        <v>46234</v>
      </c>
      <c r="B128">
        <v>36</v>
      </c>
      <c r="C128">
        <v>0</v>
      </c>
      <c r="D128">
        <f t="shared" si="12"/>
        <v>0</v>
      </c>
      <c r="E128">
        <f t="shared" si="13"/>
        <v>0.22562195685849554</v>
      </c>
      <c r="F128">
        <f t="shared" si="14"/>
        <v>0</v>
      </c>
      <c r="G128" t="str">
        <f t="shared" si="15"/>
        <v>KONTROL İÇİNDE</v>
      </c>
    </row>
    <row r="129" spans="1:8" x14ac:dyDescent="0.35">
      <c r="A129" s="21">
        <v>46237</v>
      </c>
      <c r="B129">
        <v>4</v>
      </c>
      <c r="C129">
        <v>0</v>
      </c>
      <c r="D129">
        <f t="shared" si="12"/>
        <v>0</v>
      </c>
      <c r="E129">
        <f t="shared" si="13"/>
        <v>0.50550990760580061</v>
      </c>
      <c r="F129">
        <f t="shared" si="14"/>
        <v>0</v>
      </c>
      <c r="G129" t="str">
        <f t="shared" si="15"/>
        <v>KONTROL İÇİNDE</v>
      </c>
    </row>
    <row r="130" spans="1:8" x14ac:dyDescent="0.35">
      <c r="A130" s="21">
        <v>46238</v>
      </c>
      <c r="B130">
        <v>8</v>
      </c>
      <c r="C130">
        <v>0</v>
      </c>
      <c r="D130">
        <f t="shared" ref="D130:D152" si="16">C130/B130</f>
        <v>0</v>
      </c>
      <c r="E130">
        <f t="shared" ref="E130:E152" si="17">$D$152+3*SQRT($D$152*(1-$D$152)/B130)</f>
        <v>0.38254398340358176</v>
      </c>
      <c r="F130">
        <f t="shared" ref="F130:F152" si="18">MAX(0,$D$152-3*SQRT($D$152*(1-$D$152)/B130))</f>
        <v>0</v>
      </c>
      <c r="G130" t="str">
        <f t="shared" ref="G130:G152" si="19">IF(AND(D130&lt;=E130,D130&gt;=F130),"KONTROL İÇİNDE"," KONTROL DIŞINDA")</f>
        <v>KONTROL İÇİNDE</v>
      </c>
    </row>
    <row r="131" spans="1:8" x14ac:dyDescent="0.35">
      <c r="A131" s="21">
        <v>46239</v>
      </c>
      <c r="B131">
        <v>168</v>
      </c>
      <c r="C131">
        <v>0</v>
      </c>
      <c r="D131">
        <f t="shared" si="16"/>
        <v>0</v>
      </c>
      <c r="E131">
        <f t="shared" si="17"/>
        <v>0.15045945410634423</v>
      </c>
      <c r="F131">
        <f t="shared" si="18"/>
        <v>2.089650886334174E-2</v>
      </c>
      <c r="G131" t="str">
        <f t="shared" si="19"/>
        <v xml:space="preserve"> KONTROL DIŞINDA</v>
      </c>
      <c r="H131" s="5"/>
    </row>
    <row r="132" spans="1:8" x14ac:dyDescent="0.35">
      <c r="A132" s="21">
        <v>46240</v>
      </c>
      <c r="B132">
        <v>73</v>
      </c>
      <c r="C132">
        <v>0</v>
      </c>
      <c r="D132">
        <f t="shared" si="16"/>
        <v>0</v>
      </c>
      <c r="E132">
        <f t="shared" si="17"/>
        <v>0.18395320201035903</v>
      </c>
      <c r="F132">
        <f t="shared" si="18"/>
        <v>0</v>
      </c>
      <c r="G132" t="str">
        <f t="shared" si="19"/>
        <v>KONTROL İÇİNDE</v>
      </c>
    </row>
    <row r="133" spans="1:8" x14ac:dyDescent="0.35">
      <c r="A133" s="21">
        <v>46241</v>
      </c>
      <c r="B133">
        <v>34</v>
      </c>
      <c r="C133">
        <v>0</v>
      </c>
      <c r="D133">
        <f t="shared" si="16"/>
        <v>0</v>
      </c>
      <c r="E133">
        <f t="shared" si="17"/>
        <v>0.22967914413964008</v>
      </c>
      <c r="F133">
        <f t="shared" si="18"/>
        <v>0</v>
      </c>
      <c r="G133" t="str">
        <f t="shared" si="19"/>
        <v>KONTROL İÇİNDE</v>
      </c>
    </row>
    <row r="134" spans="1:8" x14ac:dyDescent="0.35">
      <c r="A134" s="21">
        <v>46242</v>
      </c>
      <c r="B134">
        <v>1</v>
      </c>
      <c r="C134">
        <v>0</v>
      </c>
      <c r="D134">
        <f t="shared" si="16"/>
        <v>0</v>
      </c>
      <c r="E134">
        <f t="shared" si="17"/>
        <v>0.92534183372675827</v>
      </c>
      <c r="F134">
        <f t="shared" si="18"/>
        <v>0</v>
      </c>
      <c r="G134" t="str">
        <f t="shared" si="19"/>
        <v>KONTROL İÇİNDE</v>
      </c>
    </row>
    <row r="135" spans="1:8" x14ac:dyDescent="0.35">
      <c r="A135" s="21">
        <v>46244</v>
      </c>
      <c r="B135">
        <v>22</v>
      </c>
      <c r="C135">
        <v>0</v>
      </c>
      <c r="D135">
        <f t="shared" si="16"/>
        <v>0</v>
      </c>
      <c r="E135">
        <f t="shared" si="17"/>
        <v>0.26469491628073077</v>
      </c>
      <c r="F135">
        <f t="shared" si="18"/>
        <v>0</v>
      </c>
      <c r="G135" t="str">
        <f t="shared" si="19"/>
        <v>KONTROL İÇİNDE</v>
      </c>
    </row>
    <row r="136" spans="1:8" x14ac:dyDescent="0.35">
      <c r="A136" s="21">
        <v>46245</v>
      </c>
      <c r="B136">
        <v>35</v>
      </c>
      <c r="C136">
        <v>0</v>
      </c>
      <c r="D136">
        <f t="shared" si="16"/>
        <v>0</v>
      </c>
      <c r="E136">
        <f t="shared" si="17"/>
        <v>0.22760707693764123</v>
      </c>
      <c r="F136">
        <f t="shared" si="18"/>
        <v>0</v>
      </c>
      <c r="G136" t="str">
        <f t="shared" si="19"/>
        <v>KONTROL İÇİNDE</v>
      </c>
    </row>
    <row r="137" spans="1:8" x14ac:dyDescent="0.35">
      <c r="A137" s="21">
        <v>46246</v>
      </c>
      <c r="B137">
        <v>175</v>
      </c>
      <c r="C137">
        <v>0</v>
      </c>
      <c r="D137">
        <f t="shared" si="16"/>
        <v>0</v>
      </c>
      <c r="E137">
        <f t="shared" si="17"/>
        <v>0.14915060256834561</v>
      </c>
      <c r="F137">
        <f t="shared" si="18"/>
        <v>2.2205360401340357E-2</v>
      </c>
      <c r="G137" t="str">
        <f t="shared" si="19"/>
        <v xml:space="preserve"> KONTROL DIŞINDA</v>
      </c>
      <c r="H137" s="5"/>
    </row>
    <row r="138" spans="1:8" x14ac:dyDescent="0.35">
      <c r="A138" s="21">
        <v>46247</v>
      </c>
      <c r="B138">
        <v>9</v>
      </c>
      <c r="C138">
        <v>0</v>
      </c>
      <c r="D138">
        <f t="shared" si="16"/>
        <v>0</v>
      </c>
      <c r="E138">
        <f t="shared" si="17"/>
        <v>0.36556593223214806</v>
      </c>
      <c r="F138">
        <f t="shared" si="18"/>
        <v>0</v>
      </c>
      <c r="G138" t="str">
        <f t="shared" si="19"/>
        <v>KONTROL İÇİNDE</v>
      </c>
    </row>
    <row r="139" spans="1:8" x14ac:dyDescent="0.35">
      <c r="A139" s="21">
        <v>46248</v>
      </c>
      <c r="B139">
        <v>30</v>
      </c>
      <c r="C139">
        <v>0</v>
      </c>
      <c r="D139">
        <f t="shared" si="16"/>
        <v>0</v>
      </c>
      <c r="E139">
        <f t="shared" si="17"/>
        <v>0.23897892568303691</v>
      </c>
      <c r="F139">
        <f t="shared" si="18"/>
        <v>0</v>
      </c>
      <c r="G139" t="str">
        <f t="shared" si="19"/>
        <v>KONTROL İÇİNDE</v>
      </c>
    </row>
    <row r="140" spans="1:8" x14ac:dyDescent="0.35">
      <c r="A140" s="21">
        <v>46250</v>
      </c>
      <c r="B140">
        <v>2</v>
      </c>
      <c r="C140">
        <v>0</v>
      </c>
      <c r="D140">
        <f t="shared" si="16"/>
        <v>0</v>
      </c>
      <c r="E140">
        <f t="shared" si="17"/>
        <v>0.67940998532232055</v>
      </c>
      <c r="F140">
        <f t="shared" si="18"/>
        <v>0</v>
      </c>
      <c r="G140" t="str">
        <f t="shared" si="19"/>
        <v>KONTROL İÇİNDE</v>
      </c>
    </row>
    <row r="141" spans="1:8" x14ac:dyDescent="0.35">
      <c r="A141" s="21">
        <v>46251</v>
      </c>
      <c r="B141">
        <v>66</v>
      </c>
      <c r="C141">
        <v>0</v>
      </c>
      <c r="D141">
        <f t="shared" si="16"/>
        <v>0</v>
      </c>
      <c r="E141">
        <f t="shared" si="17"/>
        <v>0.18903345697875049</v>
      </c>
      <c r="F141">
        <f t="shared" si="18"/>
        <v>0</v>
      </c>
      <c r="G141" t="str">
        <f t="shared" si="19"/>
        <v>KONTROL İÇİNDE</v>
      </c>
    </row>
    <row r="142" spans="1:8" x14ac:dyDescent="0.35">
      <c r="A142" s="21">
        <v>46252</v>
      </c>
      <c r="B142">
        <v>47</v>
      </c>
      <c r="C142">
        <v>0</v>
      </c>
      <c r="D142">
        <f t="shared" si="16"/>
        <v>0</v>
      </c>
      <c r="E142">
        <f t="shared" si="17"/>
        <v>0.20815554215319937</v>
      </c>
      <c r="F142">
        <f t="shared" si="18"/>
        <v>0</v>
      </c>
      <c r="G142" t="str">
        <f t="shared" si="19"/>
        <v>KONTROL İÇİNDE</v>
      </c>
    </row>
    <row r="143" spans="1:8" x14ac:dyDescent="0.35">
      <c r="A143" s="21">
        <v>46253</v>
      </c>
      <c r="B143">
        <v>21</v>
      </c>
      <c r="C143">
        <v>0</v>
      </c>
      <c r="D143">
        <f t="shared" si="16"/>
        <v>0</v>
      </c>
      <c r="E143">
        <f t="shared" si="17"/>
        <v>0.26890765582849979</v>
      </c>
      <c r="F143">
        <f t="shared" si="18"/>
        <v>0</v>
      </c>
      <c r="G143" t="str">
        <f t="shared" si="19"/>
        <v>KONTROL İÇİNDE</v>
      </c>
    </row>
    <row r="144" spans="1:8" x14ac:dyDescent="0.35">
      <c r="A144" s="21">
        <v>46254</v>
      </c>
      <c r="B144">
        <v>25</v>
      </c>
      <c r="C144">
        <v>0</v>
      </c>
      <c r="D144">
        <f t="shared" si="16"/>
        <v>0</v>
      </c>
      <c r="E144">
        <f t="shared" si="17"/>
        <v>0.25361075193322602</v>
      </c>
      <c r="F144">
        <f t="shared" si="18"/>
        <v>0</v>
      </c>
      <c r="G144" t="str">
        <f t="shared" si="19"/>
        <v>KONTROL İÇİNDE</v>
      </c>
    </row>
    <row r="145" spans="1:8" x14ac:dyDescent="0.35">
      <c r="A145" s="21">
        <v>46255</v>
      </c>
      <c r="B145">
        <v>209</v>
      </c>
      <c r="C145">
        <v>0</v>
      </c>
      <c r="D145">
        <f t="shared" si="16"/>
        <v>0</v>
      </c>
      <c r="E145">
        <f t="shared" si="17"/>
        <v>0.14375874462296692</v>
      </c>
      <c r="F145">
        <f t="shared" si="18"/>
        <v>2.7597218346719049E-2</v>
      </c>
      <c r="G145" t="str">
        <f t="shared" si="19"/>
        <v xml:space="preserve"> KONTROL DIŞINDA</v>
      </c>
      <c r="H145" s="5"/>
    </row>
    <row r="146" spans="1:8" x14ac:dyDescent="0.35">
      <c r="A146" s="21">
        <v>46256</v>
      </c>
      <c r="B146">
        <v>23</v>
      </c>
      <c r="C146">
        <v>0</v>
      </c>
      <c r="D146">
        <f t="shared" si="16"/>
        <v>0</v>
      </c>
      <c r="E146">
        <f t="shared" si="17"/>
        <v>0.26075999763997215</v>
      </c>
      <c r="F146">
        <f t="shared" si="18"/>
        <v>0</v>
      </c>
      <c r="G146" t="str">
        <f t="shared" si="19"/>
        <v>KONTROL İÇİNDE</v>
      </c>
    </row>
    <row r="147" spans="1:8" x14ac:dyDescent="0.35">
      <c r="A147" s="21">
        <v>46258</v>
      </c>
      <c r="B147">
        <v>42</v>
      </c>
      <c r="C147">
        <v>0</v>
      </c>
      <c r="D147">
        <f t="shared" si="16"/>
        <v>0</v>
      </c>
      <c r="E147">
        <f t="shared" si="17"/>
        <v>0.21524092672784548</v>
      </c>
      <c r="F147">
        <f t="shared" si="18"/>
        <v>0</v>
      </c>
      <c r="G147" t="str">
        <f t="shared" si="19"/>
        <v>KONTROL İÇİNDE</v>
      </c>
    </row>
    <row r="148" spans="1:8" x14ac:dyDescent="0.35">
      <c r="A148" s="21">
        <v>46259</v>
      </c>
      <c r="B148">
        <v>17</v>
      </c>
      <c r="C148">
        <v>0</v>
      </c>
      <c r="D148">
        <f t="shared" si="16"/>
        <v>0</v>
      </c>
      <c r="E148">
        <f t="shared" si="17"/>
        <v>0.28932637870875111</v>
      </c>
      <c r="F148">
        <f t="shared" si="18"/>
        <v>0</v>
      </c>
      <c r="G148" t="str">
        <f t="shared" si="19"/>
        <v>KONTROL İÇİNDE</v>
      </c>
    </row>
    <row r="149" spans="1:8" x14ac:dyDescent="0.35">
      <c r="A149" s="21">
        <v>46260</v>
      </c>
      <c r="B149">
        <v>46</v>
      </c>
      <c r="C149">
        <v>0</v>
      </c>
      <c r="D149">
        <f t="shared" si="16"/>
        <v>0</v>
      </c>
      <c r="E149">
        <f t="shared" si="17"/>
        <v>0.20947966237194748</v>
      </c>
      <c r="F149">
        <f t="shared" si="18"/>
        <v>0</v>
      </c>
      <c r="G149" t="str">
        <f t="shared" si="19"/>
        <v>KONTROL İÇİNDE</v>
      </c>
    </row>
    <row r="150" spans="1:8" x14ac:dyDescent="0.35">
      <c r="A150" s="21">
        <v>46261</v>
      </c>
      <c r="B150">
        <v>160</v>
      </c>
      <c r="C150">
        <v>0</v>
      </c>
      <c r="D150">
        <f t="shared" si="16"/>
        <v>0</v>
      </c>
      <c r="E150">
        <f t="shared" si="17"/>
        <v>0.15205923753473127</v>
      </c>
      <c r="F150">
        <f t="shared" si="18"/>
        <v>1.9296725434954698E-2</v>
      </c>
      <c r="G150" t="str">
        <f t="shared" si="19"/>
        <v xml:space="preserve"> KONTROL DIŞINDA</v>
      </c>
      <c r="H150" s="5"/>
    </row>
    <row r="151" spans="1:8" x14ac:dyDescent="0.35">
      <c r="A151" s="21">
        <v>46262</v>
      </c>
      <c r="B151">
        <v>57</v>
      </c>
      <c r="C151">
        <v>0</v>
      </c>
      <c r="D151">
        <f t="shared" si="16"/>
        <v>0</v>
      </c>
      <c r="E151">
        <f t="shared" si="17"/>
        <v>0.19689417562007286</v>
      </c>
      <c r="F151">
        <f t="shared" si="18"/>
        <v>0</v>
      </c>
      <c r="G151" t="str">
        <f t="shared" si="19"/>
        <v>KONTROL İÇİNDE</v>
      </c>
    </row>
    <row r="152" spans="1:8" x14ac:dyDescent="0.35">
      <c r="A152" s="23" t="s">
        <v>27</v>
      </c>
      <c r="B152" s="24">
        <v>5509</v>
      </c>
      <c r="C152" s="24">
        <v>472</v>
      </c>
      <c r="D152">
        <f t="shared" si="16"/>
        <v>8.5677981484842985E-2</v>
      </c>
      <c r="E152">
        <f t="shared" si="17"/>
        <v>9.6990754437049145E-2</v>
      </c>
      <c r="F152">
        <f t="shared" si="18"/>
        <v>7.4365208532636826E-2</v>
      </c>
      <c r="G152" t="str">
        <f t="shared" si="19"/>
        <v>KONTROL İÇİNDE</v>
      </c>
    </row>
  </sheetData>
  <conditionalFormatting sqref="G1:G1048576">
    <cfRule type="cellIs" dxfId="14" priority="1" operator="equal">
      <formula>$G$5</formula>
    </cfRule>
    <cfRule type="cellIs" dxfId="13" priority="11" operator="equal">
      <formula>#REF!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2"/>
  <sheetViews>
    <sheetView topLeftCell="F1" zoomScale="61" zoomScaleNormal="70" workbookViewId="0">
      <selection activeCell="S7" sqref="S7"/>
    </sheetView>
  </sheetViews>
  <sheetFormatPr defaultColWidth="19.6328125" defaultRowHeight="28.5" customHeight="1" x14ac:dyDescent="0.35"/>
  <cols>
    <col min="1" max="1" width="13" hidden="1" customWidth="1"/>
    <col min="3" max="3" width="13" hidden="1" customWidth="1"/>
  </cols>
  <sheetData>
    <row r="1" spans="1:10" ht="28.5" customHeight="1" x14ac:dyDescent="0.35">
      <c r="A1" s="3" t="s">
        <v>28</v>
      </c>
      <c r="B1" s="4" t="s">
        <v>21</v>
      </c>
      <c r="C1" s="3" t="s">
        <v>29</v>
      </c>
      <c r="D1" s="3" t="s">
        <v>1</v>
      </c>
      <c r="E1" s="3" t="s">
        <v>2</v>
      </c>
      <c r="F1" s="12" t="s">
        <v>22</v>
      </c>
      <c r="G1" s="12" t="s">
        <v>4</v>
      </c>
      <c r="H1" s="12" t="s">
        <v>5</v>
      </c>
      <c r="I1" s="12" t="s">
        <v>6</v>
      </c>
    </row>
    <row r="2" spans="1:10" ht="28.5" customHeight="1" x14ac:dyDescent="0.35">
      <c r="A2" s="8" t="s">
        <v>30</v>
      </c>
      <c r="B2" s="21">
        <v>46028</v>
      </c>
      <c r="C2">
        <v>4</v>
      </c>
      <c r="D2">
        <v>4</v>
      </c>
      <c r="E2">
        <v>2</v>
      </c>
      <c r="F2">
        <f t="shared" ref="F2:F33" si="0">E2/D2</f>
        <v>0.5</v>
      </c>
      <c r="G2">
        <f t="shared" ref="G2:G33" si="1">$F$152+3*SQRT($F$152*(1-$F$152)/D2)</f>
        <v>0.17194422263713457</v>
      </c>
      <c r="H2">
        <f t="shared" ref="H2:H33" si="2">MAX(0,$F$152-3*SQRT($F$152*(1-$F$152)/D2))</f>
        <v>0</v>
      </c>
      <c r="I2" t="str">
        <f t="shared" ref="I2:I33" si="3">IF(AND(F2&lt;=G2,F2&gt;=H2),"KONTROL İÇİNDE"," KONTROL DIŞINDA")</f>
        <v xml:space="preserve"> KONTROL DIŞINDA</v>
      </c>
      <c r="J2" s="6" t="s">
        <v>31</v>
      </c>
    </row>
    <row r="3" spans="1:10" ht="28.5" customHeight="1" x14ac:dyDescent="0.35">
      <c r="A3" s="8" t="s">
        <v>30</v>
      </c>
      <c r="B3" s="21">
        <v>46029</v>
      </c>
      <c r="C3">
        <v>2</v>
      </c>
      <c r="D3">
        <v>2</v>
      </c>
      <c r="E3">
        <v>0</v>
      </c>
      <c r="F3">
        <f t="shared" si="0"/>
        <v>0</v>
      </c>
      <c r="G3">
        <f t="shared" si="1"/>
        <v>0.23837527758694932</v>
      </c>
      <c r="H3">
        <f t="shared" si="2"/>
        <v>0</v>
      </c>
      <c r="I3" t="str">
        <f t="shared" si="3"/>
        <v>KONTROL İÇİNDE</v>
      </c>
    </row>
    <row r="4" spans="1:10" ht="28.5" customHeight="1" x14ac:dyDescent="0.35">
      <c r="A4" s="8" t="s">
        <v>30</v>
      </c>
      <c r="B4" s="21">
        <v>46030</v>
      </c>
      <c r="C4">
        <v>34</v>
      </c>
      <c r="D4">
        <v>34</v>
      </c>
      <c r="E4">
        <v>0</v>
      </c>
      <c r="F4">
        <f t="shared" si="0"/>
        <v>0</v>
      </c>
      <c r="G4">
        <f t="shared" si="1"/>
        <v>6.6574927549527027E-2</v>
      </c>
      <c r="H4">
        <f t="shared" si="2"/>
        <v>0</v>
      </c>
      <c r="I4" t="str">
        <f t="shared" si="3"/>
        <v>KONTROL İÇİNDE</v>
      </c>
    </row>
    <row r="5" spans="1:10" ht="28.5" customHeight="1" x14ac:dyDescent="0.35">
      <c r="A5" s="8" t="s">
        <v>30</v>
      </c>
      <c r="B5" s="21">
        <v>46031</v>
      </c>
      <c r="C5">
        <v>4</v>
      </c>
      <c r="D5">
        <v>4</v>
      </c>
      <c r="E5">
        <v>1</v>
      </c>
      <c r="F5">
        <f t="shared" si="0"/>
        <v>0.25</v>
      </c>
      <c r="G5">
        <f t="shared" si="1"/>
        <v>0.17194422263713457</v>
      </c>
      <c r="H5">
        <f t="shared" si="2"/>
        <v>0</v>
      </c>
      <c r="I5" t="str">
        <f t="shared" si="3"/>
        <v xml:space="preserve"> KONTROL DIŞINDA</v>
      </c>
      <c r="J5" s="6" t="s">
        <v>32</v>
      </c>
    </row>
    <row r="6" spans="1:10" ht="28.5" customHeight="1" x14ac:dyDescent="0.35">
      <c r="A6" s="8" t="s">
        <v>30</v>
      </c>
      <c r="B6" s="21">
        <v>46034</v>
      </c>
      <c r="C6">
        <v>2</v>
      </c>
      <c r="D6">
        <v>2</v>
      </c>
      <c r="E6">
        <v>2</v>
      </c>
      <c r="F6">
        <f t="shared" si="0"/>
        <v>1</v>
      </c>
      <c r="G6">
        <f t="shared" si="1"/>
        <v>0.23837527758694932</v>
      </c>
      <c r="H6">
        <f t="shared" si="2"/>
        <v>0</v>
      </c>
      <c r="I6" t="str">
        <f t="shared" si="3"/>
        <v xml:space="preserve"> KONTROL DIŞINDA</v>
      </c>
      <c r="J6" s="6" t="s">
        <v>33</v>
      </c>
    </row>
    <row r="7" spans="1:10" ht="28.5" customHeight="1" x14ac:dyDescent="0.35">
      <c r="A7" s="8" t="s">
        <v>34</v>
      </c>
      <c r="B7" s="21">
        <v>46035</v>
      </c>
      <c r="C7">
        <v>81</v>
      </c>
      <c r="D7">
        <v>81</v>
      </c>
      <c r="E7">
        <v>0</v>
      </c>
      <c r="F7">
        <f t="shared" si="0"/>
        <v>0</v>
      </c>
      <c r="G7">
        <f t="shared" si="1"/>
        <v>4.7205191886227245E-2</v>
      </c>
      <c r="H7">
        <f t="shared" si="2"/>
        <v>0</v>
      </c>
      <c r="I7" t="str">
        <f t="shared" si="3"/>
        <v>KONTROL İÇİNDE</v>
      </c>
    </row>
    <row r="8" spans="1:10" ht="28.5" customHeight="1" x14ac:dyDescent="0.35">
      <c r="A8" s="8" t="s">
        <v>34</v>
      </c>
      <c r="B8" s="21">
        <v>46036</v>
      </c>
      <c r="C8">
        <v>34</v>
      </c>
      <c r="D8">
        <v>34</v>
      </c>
      <c r="E8">
        <v>2</v>
      </c>
      <c r="F8">
        <f t="shared" si="0"/>
        <v>5.8823529411764705E-2</v>
      </c>
      <c r="G8">
        <f t="shared" si="1"/>
        <v>6.6574927549527027E-2</v>
      </c>
      <c r="H8">
        <f t="shared" si="2"/>
        <v>0</v>
      </c>
      <c r="I8" t="str">
        <f t="shared" si="3"/>
        <v>KONTROL İÇİNDE</v>
      </c>
    </row>
    <row r="9" spans="1:10" ht="28.5" customHeight="1" x14ac:dyDescent="0.35">
      <c r="A9" s="9" t="s">
        <v>35</v>
      </c>
      <c r="B9" s="21">
        <v>46037</v>
      </c>
      <c r="C9">
        <v>6</v>
      </c>
      <c r="D9">
        <v>6</v>
      </c>
      <c r="E9">
        <v>0</v>
      </c>
      <c r="F9">
        <f t="shared" si="0"/>
        <v>0</v>
      </c>
      <c r="G9">
        <f t="shared" si="1"/>
        <v>0.14251417296413782</v>
      </c>
      <c r="H9">
        <f t="shared" si="2"/>
        <v>0</v>
      </c>
      <c r="I9" t="str">
        <f t="shared" si="3"/>
        <v>KONTROL İÇİNDE</v>
      </c>
    </row>
    <row r="10" spans="1:10" ht="28.5" customHeight="1" x14ac:dyDescent="0.35">
      <c r="A10" s="9" t="s">
        <v>35</v>
      </c>
      <c r="B10" s="21">
        <v>46038</v>
      </c>
      <c r="C10">
        <v>2</v>
      </c>
      <c r="D10">
        <v>2</v>
      </c>
      <c r="E10">
        <v>0</v>
      </c>
      <c r="F10">
        <f t="shared" si="0"/>
        <v>0</v>
      </c>
      <c r="G10">
        <f t="shared" si="1"/>
        <v>0.23837527758694932</v>
      </c>
      <c r="H10">
        <f t="shared" si="2"/>
        <v>0</v>
      </c>
      <c r="I10" t="str">
        <f t="shared" si="3"/>
        <v>KONTROL İÇİNDE</v>
      </c>
    </row>
    <row r="11" spans="1:10" ht="28.5" customHeight="1" x14ac:dyDescent="0.35">
      <c r="A11" s="9" t="s">
        <v>35</v>
      </c>
      <c r="B11" s="21">
        <v>46041</v>
      </c>
      <c r="C11">
        <v>14</v>
      </c>
      <c r="D11">
        <v>14</v>
      </c>
      <c r="E11">
        <v>2</v>
      </c>
      <c r="F11">
        <f t="shared" si="0"/>
        <v>0.14285714285714285</v>
      </c>
      <c r="G11">
        <f t="shared" si="1"/>
        <v>9.7291518660526946E-2</v>
      </c>
      <c r="H11">
        <f t="shared" si="2"/>
        <v>0</v>
      </c>
      <c r="I11" t="str">
        <f t="shared" si="3"/>
        <v xml:space="preserve"> KONTROL DIŞINDA</v>
      </c>
      <c r="J11" s="6" t="s">
        <v>36</v>
      </c>
    </row>
    <row r="12" spans="1:10" ht="28.5" customHeight="1" x14ac:dyDescent="0.35">
      <c r="A12" s="9" t="s">
        <v>35</v>
      </c>
      <c r="B12" s="21">
        <v>46043</v>
      </c>
      <c r="C12">
        <v>316</v>
      </c>
      <c r="D12">
        <v>316</v>
      </c>
      <c r="E12">
        <v>0</v>
      </c>
      <c r="F12">
        <f t="shared" si="0"/>
        <v>0</v>
      </c>
      <c r="G12">
        <f t="shared" si="1"/>
        <v>2.9609488363678951E-2</v>
      </c>
      <c r="H12">
        <f t="shared" si="2"/>
        <v>0</v>
      </c>
      <c r="I12" t="str">
        <f t="shared" si="3"/>
        <v>KONTROL İÇİNDE</v>
      </c>
    </row>
    <row r="13" spans="1:10" ht="28.5" customHeight="1" x14ac:dyDescent="0.35">
      <c r="A13" s="8" t="s">
        <v>35</v>
      </c>
      <c r="B13" s="21">
        <v>46045</v>
      </c>
      <c r="C13">
        <v>9</v>
      </c>
      <c r="D13">
        <v>9</v>
      </c>
      <c r="E13">
        <v>1</v>
      </c>
      <c r="F13">
        <f t="shared" si="0"/>
        <v>0.1111111111111111</v>
      </c>
      <c r="G13">
        <f t="shared" si="1"/>
        <v>0.11848463802960284</v>
      </c>
      <c r="H13">
        <f t="shared" si="2"/>
        <v>0</v>
      </c>
      <c r="I13" t="str">
        <f t="shared" si="3"/>
        <v>KONTROL İÇİNDE</v>
      </c>
    </row>
    <row r="14" spans="1:10" ht="28.5" customHeight="1" x14ac:dyDescent="0.35">
      <c r="A14" s="10" t="s">
        <v>37</v>
      </c>
      <c r="B14" s="21">
        <v>46048</v>
      </c>
      <c r="C14">
        <v>2</v>
      </c>
      <c r="D14">
        <v>2</v>
      </c>
      <c r="E14">
        <v>0</v>
      </c>
      <c r="F14">
        <f t="shared" si="0"/>
        <v>0</v>
      </c>
      <c r="G14">
        <f t="shared" si="1"/>
        <v>0.23837527758694932</v>
      </c>
      <c r="H14">
        <f t="shared" si="2"/>
        <v>0</v>
      </c>
      <c r="I14" t="str">
        <f t="shared" si="3"/>
        <v>KONTROL İÇİNDE</v>
      </c>
    </row>
    <row r="15" spans="1:10" ht="28.5" customHeight="1" x14ac:dyDescent="0.35">
      <c r="A15" s="10" t="s">
        <v>38</v>
      </c>
      <c r="B15" s="21">
        <v>46050</v>
      </c>
      <c r="C15">
        <v>205</v>
      </c>
      <c r="D15">
        <v>205</v>
      </c>
      <c r="E15">
        <v>0</v>
      </c>
      <c r="F15">
        <f t="shared" si="0"/>
        <v>0</v>
      </c>
      <c r="G15">
        <f t="shared" si="1"/>
        <v>3.3968144908033744E-2</v>
      </c>
      <c r="H15">
        <f t="shared" si="2"/>
        <v>0</v>
      </c>
      <c r="I15" t="str">
        <f t="shared" si="3"/>
        <v>KONTROL İÇİNDE</v>
      </c>
    </row>
    <row r="16" spans="1:10" ht="28.5" customHeight="1" x14ac:dyDescent="0.35">
      <c r="A16" s="10" t="s">
        <v>38</v>
      </c>
      <c r="B16" s="21">
        <v>46052</v>
      </c>
      <c r="C16">
        <v>6</v>
      </c>
      <c r="D16">
        <v>6</v>
      </c>
      <c r="E16">
        <v>0</v>
      </c>
      <c r="F16">
        <f t="shared" si="0"/>
        <v>0</v>
      </c>
      <c r="G16">
        <f t="shared" si="1"/>
        <v>0.14251417296413782</v>
      </c>
      <c r="H16">
        <f t="shared" si="2"/>
        <v>0</v>
      </c>
      <c r="I16" t="str">
        <f t="shared" si="3"/>
        <v>KONTROL İÇİNDE</v>
      </c>
    </row>
    <row r="17" spans="2:9" ht="28.5" customHeight="1" x14ac:dyDescent="0.35">
      <c r="B17" s="21">
        <v>46055</v>
      </c>
      <c r="C17">
        <v>47</v>
      </c>
      <c r="D17">
        <v>47</v>
      </c>
      <c r="E17">
        <v>2</v>
      </c>
      <c r="F17">
        <f t="shared" si="0"/>
        <v>4.2553191489361701E-2</v>
      </c>
      <c r="G17">
        <f t="shared" si="1"/>
        <v>5.8352759940090961E-2</v>
      </c>
      <c r="H17">
        <f t="shared" si="2"/>
        <v>0</v>
      </c>
      <c r="I17" t="str">
        <f t="shared" si="3"/>
        <v>KONTROL İÇİNDE</v>
      </c>
    </row>
    <row r="18" spans="2:9" ht="28.5" customHeight="1" x14ac:dyDescent="0.35">
      <c r="B18" s="21">
        <v>46056</v>
      </c>
      <c r="C18">
        <v>1</v>
      </c>
      <c r="D18">
        <v>1</v>
      </c>
      <c r="E18">
        <v>0</v>
      </c>
      <c r="F18">
        <f t="shared" si="0"/>
        <v>0</v>
      </c>
      <c r="G18">
        <f t="shared" si="1"/>
        <v>0.33232297645972969</v>
      </c>
      <c r="H18">
        <f t="shared" si="2"/>
        <v>0</v>
      </c>
      <c r="I18" t="str">
        <f t="shared" si="3"/>
        <v>KONTROL İÇİNDE</v>
      </c>
    </row>
    <row r="19" spans="2:9" ht="28.5" customHeight="1" x14ac:dyDescent="0.35">
      <c r="B19" s="21">
        <v>46057</v>
      </c>
      <c r="C19">
        <v>7</v>
      </c>
      <c r="D19">
        <v>7</v>
      </c>
      <c r="E19">
        <v>0</v>
      </c>
      <c r="F19">
        <f t="shared" si="0"/>
        <v>0</v>
      </c>
      <c r="G19">
        <f t="shared" si="1"/>
        <v>0.13280041115540694</v>
      </c>
      <c r="H19">
        <f t="shared" si="2"/>
        <v>0</v>
      </c>
      <c r="I19" t="str">
        <f t="shared" si="3"/>
        <v>KONTROL İÇİNDE</v>
      </c>
    </row>
    <row r="20" spans="2:9" ht="28.5" customHeight="1" x14ac:dyDescent="0.35">
      <c r="B20" s="21">
        <v>46058</v>
      </c>
      <c r="C20">
        <v>6</v>
      </c>
      <c r="D20">
        <v>6</v>
      </c>
      <c r="E20">
        <v>0</v>
      </c>
      <c r="F20">
        <f t="shared" si="0"/>
        <v>0</v>
      </c>
      <c r="G20">
        <f t="shared" si="1"/>
        <v>0.14251417296413782</v>
      </c>
      <c r="H20">
        <f t="shared" si="2"/>
        <v>0</v>
      </c>
      <c r="I20" t="str">
        <f t="shared" si="3"/>
        <v>KONTROL İÇİNDE</v>
      </c>
    </row>
    <row r="21" spans="2:9" ht="28.5" customHeight="1" x14ac:dyDescent="0.35">
      <c r="B21" s="21">
        <v>46059</v>
      </c>
      <c r="C21">
        <v>7</v>
      </c>
      <c r="D21">
        <v>7</v>
      </c>
      <c r="E21">
        <v>0</v>
      </c>
      <c r="F21">
        <f t="shared" si="0"/>
        <v>0</v>
      </c>
      <c r="G21">
        <f t="shared" si="1"/>
        <v>0.13280041115540694</v>
      </c>
      <c r="H21">
        <f t="shared" si="2"/>
        <v>0</v>
      </c>
      <c r="I21" t="str">
        <f t="shared" si="3"/>
        <v>KONTROL İÇİNDE</v>
      </c>
    </row>
    <row r="22" spans="2:9" ht="28.5" customHeight="1" x14ac:dyDescent="0.35">
      <c r="B22" s="21">
        <v>46062</v>
      </c>
      <c r="C22">
        <v>45</v>
      </c>
      <c r="D22">
        <v>45</v>
      </c>
      <c r="E22">
        <v>1</v>
      </c>
      <c r="F22">
        <f t="shared" si="0"/>
        <v>2.2222222222222223E-2</v>
      </c>
      <c r="G22">
        <f t="shared" si="1"/>
        <v>5.938117490707636E-2</v>
      </c>
      <c r="H22">
        <f t="shared" si="2"/>
        <v>0</v>
      </c>
      <c r="I22" t="str">
        <f t="shared" si="3"/>
        <v>KONTROL İÇİNDE</v>
      </c>
    </row>
    <row r="23" spans="2:9" ht="28.5" customHeight="1" x14ac:dyDescent="0.35">
      <c r="B23" s="21">
        <v>46063</v>
      </c>
      <c r="C23">
        <v>4</v>
      </c>
      <c r="D23">
        <v>4</v>
      </c>
      <c r="E23">
        <v>0</v>
      </c>
      <c r="F23">
        <f t="shared" si="0"/>
        <v>0</v>
      </c>
      <c r="G23">
        <f t="shared" si="1"/>
        <v>0.17194422263713457</v>
      </c>
      <c r="H23">
        <f t="shared" si="2"/>
        <v>0</v>
      </c>
      <c r="I23" t="str">
        <f t="shared" si="3"/>
        <v>KONTROL İÇİNDE</v>
      </c>
    </row>
    <row r="24" spans="2:9" ht="28.5" customHeight="1" x14ac:dyDescent="0.35">
      <c r="B24" s="21">
        <v>46064</v>
      </c>
      <c r="C24">
        <v>2</v>
      </c>
      <c r="D24">
        <v>2</v>
      </c>
      <c r="E24">
        <v>0</v>
      </c>
      <c r="F24">
        <f t="shared" si="0"/>
        <v>0</v>
      </c>
      <c r="G24">
        <f t="shared" si="1"/>
        <v>0.23837527758694932</v>
      </c>
      <c r="H24">
        <f t="shared" si="2"/>
        <v>0</v>
      </c>
      <c r="I24" t="str">
        <f t="shared" si="3"/>
        <v>KONTROL İÇİNDE</v>
      </c>
    </row>
    <row r="25" spans="2:9" ht="28.5" customHeight="1" x14ac:dyDescent="0.35">
      <c r="B25" s="21">
        <v>46065</v>
      </c>
      <c r="C25">
        <v>86</v>
      </c>
      <c r="D25">
        <v>86</v>
      </c>
      <c r="E25">
        <v>0</v>
      </c>
      <c r="F25">
        <f t="shared" si="0"/>
        <v>0</v>
      </c>
      <c r="G25">
        <f t="shared" si="1"/>
        <v>4.61536403897434E-2</v>
      </c>
      <c r="H25">
        <f t="shared" si="2"/>
        <v>0</v>
      </c>
      <c r="I25" t="str">
        <f t="shared" si="3"/>
        <v>KONTROL İÇİNDE</v>
      </c>
    </row>
    <row r="26" spans="2:9" ht="28.5" customHeight="1" x14ac:dyDescent="0.35">
      <c r="B26" s="21">
        <v>46066</v>
      </c>
      <c r="C26">
        <v>16</v>
      </c>
      <c r="D26">
        <v>16</v>
      </c>
      <c r="E26">
        <v>0</v>
      </c>
      <c r="F26">
        <f t="shared" si="0"/>
        <v>0</v>
      </c>
      <c r="G26">
        <f t="shared" si="1"/>
        <v>9.1754845725837003E-2</v>
      </c>
      <c r="H26">
        <f t="shared" si="2"/>
        <v>0</v>
      </c>
      <c r="I26" t="str">
        <f t="shared" si="3"/>
        <v>KONTROL İÇİNDE</v>
      </c>
    </row>
    <row r="27" spans="2:9" ht="28.5" customHeight="1" x14ac:dyDescent="0.35">
      <c r="B27" s="21">
        <v>46069</v>
      </c>
      <c r="C27">
        <v>7</v>
      </c>
      <c r="D27">
        <v>7</v>
      </c>
      <c r="E27">
        <v>0</v>
      </c>
      <c r="F27">
        <f t="shared" si="0"/>
        <v>0</v>
      </c>
      <c r="G27">
        <f t="shared" si="1"/>
        <v>0.13280041115540694</v>
      </c>
      <c r="H27">
        <f t="shared" si="2"/>
        <v>0</v>
      </c>
      <c r="I27" t="str">
        <f t="shared" si="3"/>
        <v>KONTROL İÇİNDE</v>
      </c>
    </row>
    <row r="28" spans="2:9" ht="28.5" customHeight="1" x14ac:dyDescent="0.35">
      <c r="B28" s="21">
        <v>46070</v>
      </c>
      <c r="C28">
        <v>11</v>
      </c>
      <c r="D28">
        <v>11</v>
      </c>
      <c r="E28">
        <v>0</v>
      </c>
      <c r="F28">
        <f t="shared" si="0"/>
        <v>0</v>
      </c>
      <c r="G28">
        <f t="shared" si="1"/>
        <v>0.10827749622805304</v>
      </c>
      <c r="H28">
        <f t="shared" si="2"/>
        <v>0</v>
      </c>
      <c r="I28" t="str">
        <f t="shared" si="3"/>
        <v>KONTROL İÇİNDE</v>
      </c>
    </row>
    <row r="29" spans="2:9" ht="28.5" customHeight="1" x14ac:dyDescent="0.35">
      <c r="B29" s="21">
        <v>46071</v>
      </c>
      <c r="C29">
        <v>6</v>
      </c>
      <c r="D29">
        <v>6</v>
      </c>
      <c r="E29">
        <v>0</v>
      </c>
      <c r="F29">
        <f t="shared" si="0"/>
        <v>0</v>
      </c>
      <c r="G29">
        <f t="shared" si="1"/>
        <v>0.14251417296413782</v>
      </c>
      <c r="H29">
        <f t="shared" si="2"/>
        <v>0</v>
      </c>
      <c r="I29" t="str">
        <f t="shared" si="3"/>
        <v>KONTROL İÇİNDE</v>
      </c>
    </row>
    <row r="30" spans="2:9" ht="28.5" customHeight="1" x14ac:dyDescent="0.35">
      <c r="B30" s="21">
        <v>46072</v>
      </c>
      <c r="C30">
        <v>8</v>
      </c>
      <c r="D30">
        <v>8</v>
      </c>
      <c r="E30">
        <v>0</v>
      </c>
      <c r="F30">
        <f t="shared" si="0"/>
        <v>0</v>
      </c>
      <c r="G30">
        <f t="shared" si="1"/>
        <v>0.12497037320074438</v>
      </c>
      <c r="H30">
        <f t="shared" si="2"/>
        <v>0</v>
      </c>
      <c r="I30" t="str">
        <f t="shared" si="3"/>
        <v>KONTROL İÇİNDE</v>
      </c>
    </row>
    <row r="31" spans="2:9" ht="28.5" customHeight="1" x14ac:dyDescent="0.35">
      <c r="B31" s="21">
        <v>46076</v>
      </c>
      <c r="C31">
        <v>12</v>
      </c>
      <c r="D31">
        <v>12</v>
      </c>
      <c r="E31">
        <v>0</v>
      </c>
      <c r="F31">
        <f t="shared" si="0"/>
        <v>0</v>
      </c>
      <c r="G31">
        <f t="shared" si="1"/>
        <v>0.10416018550631145</v>
      </c>
      <c r="H31">
        <f t="shared" si="2"/>
        <v>0</v>
      </c>
      <c r="I31" t="str">
        <f t="shared" si="3"/>
        <v>KONTROL İÇİNDE</v>
      </c>
    </row>
    <row r="32" spans="2:9" ht="28.5" customHeight="1" x14ac:dyDescent="0.35">
      <c r="B32" s="21">
        <v>46077</v>
      </c>
      <c r="C32">
        <v>5</v>
      </c>
      <c r="D32">
        <v>5</v>
      </c>
      <c r="E32">
        <v>0</v>
      </c>
      <c r="F32">
        <f t="shared" si="0"/>
        <v>0</v>
      </c>
      <c r="G32">
        <f t="shared" si="1"/>
        <v>0.15501258709215021</v>
      </c>
      <c r="H32">
        <f t="shared" si="2"/>
        <v>0</v>
      </c>
      <c r="I32" t="str">
        <f t="shared" si="3"/>
        <v>KONTROL İÇİNDE</v>
      </c>
    </row>
    <row r="33" spans="2:10" ht="28.5" customHeight="1" x14ac:dyDescent="0.35">
      <c r="B33" s="21">
        <v>46078</v>
      </c>
      <c r="C33">
        <v>3</v>
      </c>
      <c r="D33">
        <v>3</v>
      </c>
      <c r="E33">
        <v>0</v>
      </c>
      <c r="F33">
        <f t="shared" si="0"/>
        <v>0</v>
      </c>
      <c r="G33">
        <f t="shared" si="1"/>
        <v>0.19675490219808348</v>
      </c>
      <c r="H33">
        <f t="shared" si="2"/>
        <v>0</v>
      </c>
      <c r="I33" t="str">
        <f t="shared" si="3"/>
        <v>KONTROL İÇİNDE</v>
      </c>
    </row>
    <row r="34" spans="2:10" ht="28.5" customHeight="1" x14ac:dyDescent="0.35">
      <c r="B34" s="21">
        <v>46079</v>
      </c>
      <c r="C34">
        <v>2</v>
      </c>
      <c r="D34">
        <v>2</v>
      </c>
      <c r="E34">
        <v>0</v>
      </c>
      <c r="F34">
        <f t="shared" ref="F34:F65" si="4">E34/D34</f>
        <v>0</v>
      </c>
      <c r="G34">
        <f t="shared" ref="G34:G65" si="5">$F$152+3*SQRT($F$152*(1-$F$152)/D34)</f>
        <v>0.23837527758694932</v>
      </c>
      <c r="H34">
        <f t="shared" ref="H34:H65" si="6">MAX(0,$F$152-3*SQRT($F$152*(1-$F$152)/D34))</f>
        <v>0</v>
      </c>
      <c r="I34" t="str">
        <f t="shared" ref="I34:I65" si="7">IF(AND(F34&lt;=G34,F34&gt;=H34),"KONTROL İÇİNDE"," KONTROL DIŞINDA")</f>
        <v>KONTROL İÇİNDE</v>
      </c>
    </row>
    <row r="35" spans="2:10" ht="28.5" customHeight="1" x14ac:dyDescent="0.35">
      <c r="B35" s="21">
        <v>46081</v>
      </c>
      <c r="C35">
        <v>28</v>
      </c>
      <c r="D35">
        <v>28</v>
      </c>
      <c r="E35">
        <v>0</v>
      </c>
      <c r="F35">
        <f t="shared" si="4"/>
        <v>0</v>
      </c>
      <c r="G35">
        <f t="shared" si="5"/>
        <v>7.2182939984973188E-2</v>
      </c>
      <c r="H35">
        <f t="shared" si="6"/>
        <v>0</v>
      </c>
      <c r="I35" t="str">
        <f t="shared" si="7"/>
        <v>KONTROL İÇİNDE</v>
      </c>
    </row>
    <row r="36" spans="2:10" ht="28.5" customHeight="1" x14ac:dyDescent="0.35">
      <c r="B36" s="21">
        <v>46083</v>
      </c>
      <c r="C36">
        <v>7</v>
      </c>
      <c r="D36">
        <v>7</v>
      </c>
      <c r="E36">
        <v>1</v>
      </c>
      <c r="F36">
        <f t="shared" si="4"/>
        <v>0.14285714285714285</v>
      </c>
      <c r="G36">
        <f t="shared" si="5"/>
        <v>0.13280041115540694</v>
      </c>
      <c r="H36">
        <f t="shared" si="6"/>
        <v>0</v>
      </c>
      <c r="I36" t="str">
        <f t="shared" si="7"/>
        <v xml:space="preserve"> KONTROL DIŞINDA</v>
      </c>
      <c r="J36" s="6" t="s">
        <v>39</v>
      </c>
    </row>
    <row r="37" spans="2:10" ht="28.5" customHeight="1" x14ac:dyDescent="0.35">
      <c r="B37" s="21">
        <v>46084</v>
      </c>
      <c r="C37">
        <v>197</v>
      </c>
      <c r="D37">
        <v>197</v>
      </c>
      <c r="E37">
        <v>5</v>
      </c>
      <c r="F37">
        <f t="shared" si="4"/>
        <v>2.5380710659898477E-2</v>
      </c>
      <c r="G37">
        <f t="shared" si="5"/>
        <v>3.4418494995733621E-2</v>
      </c>
      <c r="H37">
        <f t="shared" si="6"/>
        <v>0</v>
      </c>
      <c r="I37" t="str">
        <f t="shared" si="7"/>
        <v>KONTROL İÇİNDE</v>
      </c>
    </row>
    <row r="38" spans="2:10" ht="28.5" customHeight="1" x14ac:dyDescent="0.35">
      <c r="B38" s="21">
        <v>46086</v>
      </c>
      <c r="C38">
        <v>5</v>
      </c>
      <c r="D38">
        <v>5</v>
      </c>
      <c r="E38">
        <v>0</v>
      </c>
      <c r="F38">
        <f t="shared" si="4"/>
        <v>0</v>
      </c>
      <c r="G38">
        <f t="shared" si="5"/>
        <v>0.15501258709215021</v>
      </c>
      <c r="H38">
        <f t="shared" si="6"/>
        <v>0</v>
      </c>
      <c r="I38" t="str">
        <f t="shared" si="7"/>
        <v>KONTROL İÇİNDE</v>
      </c>
    </row>
    <row r="39" spans="2:10" ht="28.5" customHeight="1" x14ac:dyDescent="0.35">
      <c r="B39" s="21">
        <v>46087</v>
      </c>
      <c r="C39">
        <v>2</v>
      </c>
      <c r="D39">
        <v>2</v>
      </c>
      <c r="E39">
        <v>0</v>
      </c>
      <c r="F39">
        <f t="shared" si="4"/>
        <v>0</v>
      </c>
      <c r="G39">
        <f t="shared" si="5"/>
        <v>0.23837527758694932</v>
      </c>
      <c r="H39">
        <f t="shared" si="6"/>
        <v>0</v>
      </c>
      <c r="I39" t="str">
        <f t="shared" si="7"/>
        <v>KONTROL İÇİNDE</v>
      </c>
    </row>
    <row r="40" spans="2:10" ht="28.5" customHeight="1" x14ac:dyDescent="0.35">
      <c r="B40" s="21">
        <v>46090</v>
      </c>
      <c r="C40">
        <v>2</v>
      </c>
      <c r="D40">
        <v>2</v>
      </c>
      <c r="E40">
        <v>0</v>
      </c>
      <c r="F40">
        <f t="shared" si="4"/>
        <v>0</v>
      </c>
      <c r="G40">
        <f t="shared" si="5"/>
        <v>0.23837527758694932</v>
      </c>
      <c r="H40">
        <f t="shared" si="6"/>
        <v>0</v>
      </c>
      <c r="I40" t="str">
        <f t="shared" si="7"/>
        <v>KONTROL İÇİNDE</v>
      </c>
    </row>
    <row r="41" spans="2:10" ht="28.5" customHeight="1" x14ac:dyDescent="0.35">
      <c r="B41" s="21">
        <v>46091</v>
      </c>
      <c r="C41">
        <v>32</v>
      </c>
      <c r="D41">
        <v>32</v>
      </c>
      <c r="E41">
        <v>3</v>
      </c>
      <c r="F41">
        <f t="shared" si="4"/>
        <v>9.375E-2</v>
      </c>
      <c r="G41">
        <f t="shared" si="5"/>
        <v>6.826792100764191E-2</v>
      </c>
      <c r="H41">
        <f t="shared" si="6"/>
        <v>0</v>
      </c>
      <c r="I41" t="str">
        <f t="shared" si="7"/>
        <v xml:space="preserve"> KONTROL DIŞINDA</v>
      </c>
      <c r="J41" s="6" t="s">
        <v>40</v>
      </c>
    </row>
    <row r="42" spans="2:10" ht="28.5" customHeight="1" x14ac:dyDescent="0.35">
      <c r="B42" s="21">
        <v>46092</v>
      </c>
      <c r="C42">
        <v>9</v>
      </c>
      <c r="D42">
        <v>9</v>
      </c>
      <c r="E42">
        <v>0</v>
      </c>
      <c r="F42">
        <f t="shared" si="4"/>
        <v>0</v>
      </c>
      <c r="G42">
        <f t="shared" si="5"/>
        <v>0.11848463802960284</v>
      </c>
      <c r="H42">
        <f t="shared" si="6"/>
        <v>0</v>
      </c>
      <c r="I42" t="str">
        <f t="shared" si="7"/>
        <v>KONTROL İÇİNDE</v>
      </c>
    </row>
    <row r="43" spans="2:10" ht="28.5" customHeight="1" x14ac:dyDescent="0.35">
      <c r="B43" s="21">
        <v>46093</v>
      </c>
      <c r="C43">
        <v>23</v>
      </c>
      <c r="D43">
        <v>23</v>
      </c>
      <c r="E43">
        <v>0</v>
      </c>
      <c r="F43">
        <f t="shared" si="4"/>
        <v>0</v>
      </c>
      <c r="G43">
        <f t="shared" si="5"/>
        <v>7.8448032575583956E-2</v>
      </c>
      <c r="H43">
        <f t="shared" si="6"/>
        <v>0</v>
      </c>
      <c r="I43" t="str">
        <f t="shared" si="7"/>
        <v>KONTROL İÇİNDE</v>
      </c>
    </row>
    <row r="44" spans="2:10" ht="28.5" customHeight="1" x14ac:dyDescent="0.35">
      <c r="B44" s="21">
        <v>46094</v>
      </c>
      <c r="C44">
        <v>1</v>
      </c>
      <c r="D44">
        <v>1</v>
      </c>
      <c r="E44">
        <v>0</v>
      </c>
      <c r="F44">
        <f t="shared" si="4"/>
        <v>0</v>
      </c>
      <c r="G44">
        <f t="shared" si="5"/>
        <v>0.33232297645972969</v>
      </c>
      <c r="H44">
        <f t="shared" si="6"/>
        <v>0</v>
      </c>
      <c r="I44" t="str">
        <f t="shared" si="7"/>
        <v>KONTROL İÇİNDE</v>
      </c>
    </row>
    <row r="45" spans="2:10" ht="28.5" customHeight="1" x14ac:dyDescent="0.35">
      <c r="B45" s="21">
        <v>46096</v>
      </c>
      <c r="C45">
        <v>1</v>
      </c>
      <c r="D45">
        <v>1</v>
      </c>
      <c r="E45">
        <v>0</v>
      </c>
      <c r="F45">
        <f t="shared" si="4"/>
        <v>0</v>
      </c>
      <c r="G45">
        <f t="shared" si="5"/>
        <v>0.33232297645972969</v>
      </c>
      <c r="H45">
        <f t="shared" si="6"/>
        <v>0</v>
      </c>
      <c r="I45" t="str">
        <f t="shared" si="7"/>
        <v>KONTROL İÇİNDE</v>
      </c>
    </row>
    <row r="46" spans="2:10" ht="28.5" customHeight="1" x14ac:dyDescent="0.35">
      <c r="B46" s="21">
        <v>46097</v>
      </c>
      <c r="C46">
        <v>33</v>
      </c>
      <c r="D46">
        <v>33</v>
      </c>
      <c r="E46">
        <v>0</v>
      </c>
      <c r="F46">
        <f t="shared" si="4"/>
        <v>0</v>
      </c>
      <c r="G46">
        <f t="shared" si="5"/>
        <v>6.7402183875605981E-2</v>
      </c>
      <c r="H46">
        <f t="shared" si="6"/>
        <v>0</v>
      </c>
      <c r="I46" t="str">
        <f t="shared" si="7"/>
        <v>KONTROL İÇİNDE</v>
      </c>
    </row>
    <row r="47" spans="2:10" ht="28.5" customHeight="1" x14ac:dyDescent="0.35">
      <c r="B47" s="21">
        <v>46098</v>
      </c>
      <c r="C47">
        <v>27</v>
      </c>
      <c r="D47">
        <v>27</v>
      </c>
      <c r="E47">
        <v>2</v>
      </c>
      <c r="F47">
        <f t="shared" si="4"/>
        <v>7.407407407407407E-2</v>
      </c>
      <c r="G47">
        <f t="shared" si="5"/>
        <v>7.3295279942387451E-2</v>
      </c>
      <c r="H47">
        <f t="shared" si="6"/>
        <v>0</v>
      </c>
      <c r="I47" t="str">
        <f t="shared" si="7"/>
        <v xml:space="preserve"> KONTROL DIŞINDA</v>
      </c>
      <c r="J47" s="6" t="s">
        <v>41</v>
      </c>
    </row>
    <row r="48" spans="2:10" ht="28.5" customHeight="1" x14ac:dyDescent="0.35">
      <c r="B48" s="21">
        <v>46099</v>
      </c>
      <c r="C48">
        <v>30</v>
      </c>
      <c r="D48">
        <v>30</v>
      </c>
      <c r="E48">
        <v>0</v>
      </c>
      <c r="F48">
        <f t="shared" si="4"/>
        <v>0</v>
      </c>
      <c r="G48">
        <f t="shared" si="5"/>
        <v>7.0127509623341605E-2</v>
      </c>
      <c r="H48">
        <f t="shared" si="6"/>
        <v>0</v>
      </c>
      <c r="I48" t="str">
        <f t="shared" si="7"/>
        <v>KONTROL İÇİNDE</v>
      </c>
    </row>
    <row r="49" spans="2:10" ht="28.5" customHeight="1" x14ac:dyDescent="0.35">
      <c r="B49" s="21">
        <v>46101</v>
      </c>
      <c r="C49">
        <v>1</v>
      </c>
      <c r="D49">
        <v>1</v>
      </c>
      <c r="E49">
        <v>0</v>
      </c>
      <c r="F49">
        <f t="shared" si="4"/>
        <v>0</v>
      </c>
      <c r="G49">
        <f t="shared" si="5"/>
        <v>0.33232297645972969</v>
      </c>
      <c r="H49">
        <f t="shared" si="6"/>
        <v>0</v>
      </c>
      <c r="I49" t="str">
        <f t="shared" si="7"/>
        <v>KONTROL İÇİNDE</v>
      </c>
    </row>
    <row r="50" spans="2:10" ht="28.5" customHeight="1" x14ac:dyDescent="0.35">
      <c r="B50" s="21">
        <v>46104</v>
      </c>
      <c r="C50">
        <v>106</v>
      </c>
      <c r="D50">
        <v>106</v>
      </c>
      <c r="E50">
        <v>21</v>
      </c>
      <c r="F50">
        <f t="shared" si="4"/>
        <v>0.19811320754716982</v>
      </c>
      <c r="G50">
        <f t="shared" si="5"/>
        <v>4.2720192056611983E-2</v>
      </c>
      <c r="H50">
        <f t="shared" si="6"/>
        <v>0</v>
      </c>
      <c r="I50" t="str">
        <f t="shared" si="7"/>
        <v xml:space="preserve"> KONTROL DIŞINDA</v>
      </c>
      <c r="J50" s="6" t="s">
        <v>42</v>
      </c>
    </row>
    <row r="51" spans="2:10" ht="28.5" customHeight="1" x14ac:dyDescent="0.35">
      <c r="B51" s="21">
        <v>46105</v>
      </c>
      <c r="C51">
        <v>100</v>
      </c>
      <c r="D51">
        <v>100</v>
      </c>
      <c r="E51">
        <v>0</v>
      </c>
      <c r="F51">
        <f t="shared" si="4"/>
        <v>0</v>
      </c>
      <c r="G51">
        <f t="shared" si="5"/>
        <v>4.364121957905847E-2</v>
      </c>
      <c r="H51">
        <f t="shared" si="6"/>
        <v>0</v>
      </c>
      <c r="I51" t="str">
        <f t="shared" si="7"/>
        <v>KONTROL İÇİNDE</v>
      </c>
      <c r="J51" s="6"/>
    </row>
    <row r="52" spans="2:10" ht="28.5" customHeight="1" x14ac:dyDescent="0.35">
      <c r="B52" s="21">
        <v>46106</v>
      </c>
      <c r="C52">
        <v>55</v>
      </c>
      <c r="D52">
        <v>55</v>
      </c>
      <c r="E52">
        <v>0</v>
      </c>
      <c r="F52">
        <f t="shared" si="4"/>
        <v>0</v>
      </c>
      <c r="G52">
        <f t="shared" si="5"/>
        <v>5.4816402322227356E-2</v>
      </c>
      <c r="H52">
        <f t="shared" si="6"/>
        <v>0</v>
      </c>
      <c r="I52" t="str">
        <f t="shared" si="7"/>
        <v>KONTROL İÇİNDE</v>
      </c>
      <c r="J52" s="20"/>
    </row>
    <row r="53" spans="2:10" ht="28.5" customHeight="1" x14ac:dyDescent="0.35">
      <c r="B53" s="21">
        <v>46107</v>
      </c>
      <c r="C53">
        <v>1</v>
      </c>
      <c r="D53">
        <v>1</v>
      </c>
      <c r="E53">
        <v>0</v>
      </c>
      <c r="F53">
        <f t="shared" si="4"/>
        <v>0</v>
      </c>
      <c r="G53">
        <f t="shared" si="5"/>
        <v>0.33232297645972969</v>
      </c>
      <c r="H53">
        <f t="shared" si="6"/>
        <v>0</v>
      </c>
      <c r="I53" t="str">
        <f t="shared" si="7"/>
        <v>KONTROL İÇİNDE</v>
      </c>
    </row>
    <row r="54" spans="2:10" ht="28.5" customHeight="1" x14ac:dyDescent="0.35">
      <c r="B54" s="21">
        <v>46108</v>
      </c>
      <c r="C54">
        <v>23</v>
      </c>
      <c r="D54">
        <v>23</v>
      </c>
      <c r="E54">
        <v>0</v>
      </c>
      <c r="F54">
        <f t="shared" si="4"/>
        <v>0</v>
      </c>
      <c r="G54">
        <f t="shared" si="5"/>
        <v>7.8448032575583956E-2</v>
      </c>
      <c r="H54">
        <f t="shared" si="6"/>
        <v>0</v>
      </c>
      <c r="I54" t="str">
        <f t="shared" si="7"/>
        <v>KONTROL İÇİNDE</v>
      </c>
    </row>
    <row r="55" spans="2:10" ht="28.5" customHeight="1" x14ac:dyDescent="0.35">
      <c r="B55" s="21">
        <v>46111</v>
      </c>
      <c r="C55">
        <v>2</v>
      </c>
      <c r="D55">
        <v>2</v>
      </c>
      <c r="E55">
        <v>0</v>
      </c>
      <c r="F55">
        <f t="shared" si="4"/>
        <v>0</v>
      </c>
      <c r="G55">
        <f t="shared" si="5"/>
        <v>0.23837527758694932</v>
      </c>
      <c r="H55">
        <f t="shared" si="6"/>
        <v>0</v>
      </c>
      <c r="I55" t="str">
        <f t="shared" si="7"/>
        <v>KONTROL İÇİNDE</v>
      </c>
    </row>
    <row r="56" spans="2:10" ht="28.5" customHeight="1" x14ac:dyDescent="0.35">
      <c r="B56" s="21">
        <v>46112</v>
      </c>
      <c r="C56">
        <v>1</v>
      </c>
      <c r="D56">
        <v>1</v>
      </c>
      <c r="E56">
        <v>0</v>
      </c>
      <c r="F56">
        <f t="shared" si="4"/>
        <v>0</v>
      </c>
      <c r="G56">
        <f t="shared" si="5"/>
        <v>0.33232297645972969</v>
      </c>
      <c r="H56">
        <f t="shared" si="6"/>
        <v>0</v>
      </c>
      <c r="I56" t="str">
        <f t="shared" si="7"/>
        <v>KONTROL İÇİNDE</v>
      </c>
    </row>
    <row r="57" spans="2:10" ht="28.5" customHeight="1" x14ac:dyDescent="0.35">
      <c r="B57" s="21">
        <v>46113</v>
      </c>
      <c r="C57">
        <v>2</v>
      </c>
      <c r="D57">
        <v>2</v>
      </c>
      <c r="E57">
        <v>0</v>
      </c>
      <c r="F57">
        <f t="shared" si="4"/>
        <v>0</v>
      </c>
      <c r="G57">
        <f t="shared" si="5"/>
        <v>0.23837527758694932</v>
      </c>
      <c r="H57">
        <f t="shared" si="6"/>
        <v>0</v>
      </c>
      <c r="I57" t="str">
        <f t="shared" si="7"/>
        <v>KONTROL İÇİNDE</v>
      </c>
    </row>
    <row r="58" spans="2:10" ht="28.5" customHeight="1" x14ac:dyDescent="0.35">
      <c r="B58" s="21">
        <v>46115</v>
      </c>
      <c r="C58">
        <v>8</v>
      </c>
      <c r="D58">
        <v>8</v>
      </c>
      <c r="E58">
        <v>0</v>
      </c>
      <c r="F58">
        <f t="shared" si="4"/>
        <v>0</v>
      </c>
      <c r="G58">
        <f t="shared" si="5"/>
        <v>0.12497037320074438</v>
      </c>
      <c r="H58">
        <f t="shared" si="6"/>
        <v>0</v>
      </c>
      <c r="I58" t="str">
        <f t="shared" si="7"/>
        <v>KONTROL İÇİNDE</v>
      </c>
    </row>
    <row r="59" spans="2:10" ht="28.5" customHeight="1" x14ac:dyDescent="0.35">
      <c r="B59" s="21">
        <v>46118</v>
      </c>
      <c r="C59">
        <v>2</v>
      </c>
      <c r="D59">
        <v>2</v>
      </c>
      <c r="E59">
        <v>0</v>
      </c>
      <c r="F59">
        <f t="shared" si="4"/>
        <v>0</v>
      </c>
      <c r="G59">
        <f t="shared" si="5"/>
        <v>0.23837527758694932</v>
      </c>
      <c r="H59">
        <f t="shared" si="6"/>
        <v>0</v>
      </c>
      <c r="I59" t="str">
        <f t="shared" si="7"/>
        <v>KONTROL İÇİNDE</v>
      </c>
    </row>
    <row r="60" spans="2:10" ht="28.5" customHeight="1" x14ac:dyDescent="0.35">
      <c r="B60" s="21">
        <v>46119</v>
      </c>
      <c r="C60">
        <v>14</v>
      </c>
      <c r="D60">
        <v>14</v>
      </c>
      <c r="E60">
        <v>0</v>
      </c>
      <c r="F60">
        <f t="shared" si="4"/>
        <v>0</v>
      </c>
      <c r="G60">
        <f t="shared" si="5"/>
        <v>9.7291518660526946E-2</v>
      </c>
      <c r="H60">
        <f t="shared" si="6"/>
        <v>0</v>
      </c>
      <c r="I60" t="str">
        <f t="shared" si="7"/>
        <v>KONTROL İÇİNDE</v>
      </c>
    </row>
    <row r="61" spans="2:10" ht="28.5" customHeight="1" x14ac:dyDescent="0.35">
      <c r="B61" s="21">
        <v>46120</v>
      </c>
      <c r="C61">
        <v>8</v>
      </c>
      <c r="D61">
        <v>8</v>
      </c>
      <c r="E61">
        <v>0</v>
      </c>
      <c r="F61">
        <f t="shared" si="4"/>
        <v>0</v>
      </c>
      <c r="G61">
        <f t="shared" si="5"/>
        <v>0.12497037320074438</v>
      </c>
      <c r="H61">
        <f t="shared" si="6"/>
        <v>0</v>
      </c>
      <c r="I61" t="str">
        <f t="shared" si="7"/>
        <v>KONTROL İÇİNDE</v>
      </c>
    </row>
    <row r="62" spans="2:10" ht="28.5" customHeight="1" x14ac:dyDescent="0.35">
      <c r="B62" s="21">
        <v>46121</v>
      </c>
      <c r="C62">
        <v>25</v>
      </c>
      <c r="D62">
        <v>25</v>
      </c>
      <c r="E62">
        <v>0</v>
      </c>
      <c r="F62">
        <f t="shared" si="4"/>
        <v>0</v>
      </c>
      <c r="G62">
        <f t="shared" si="5"/>
        <v>7.5716970343577494E-2</v>
      </c>
      <c r="H62">
        <f t="shared" si="6"/>
        <v>0</v>
      </c>
      <c r="I62" t="str">
        <f t="shared" si="7"/>
        <v>KONTROL İÇİNDE</v>
      </c>
    </row>
    <row r="63" spans="2:10" ht="28.5" customHeight="1" x14ac:dyDescent="0.35">
      <c r="B63" s="21">
        <v>46122</v>
      </c>
      <c r="C63">
        <v>1</v>
      </c>
      <c r="D63">
        <v>1</v>
      </c>
      <c r="E63">
        <v>0</v>
      </c>
      <c r="F63">
        <f t="shared" si="4"/>
        <v>0</v>
      </c>
      <c r="G63">
        <f t="shared" si="5"/>
        <v>0.33232297645972969</v>
      </c>
      <c r="H63">
        <f t="shared" si="6"/>
        <v>0</v>
      </c>
      <c r="I63" t="str">
        <f t="shared" si="7"/>
        <v>KONTROL İÇİNDE</v>
      </c>
    </row>
    <row r="64" spans="2:10" ht="28.5" customHeight="1" x14ac:dyDescent="0.35">
      <c r="B64" s="21">
        <v>46125</v>
      </c>
      <c r="C64">
        <v>43</v>
      </c>
      <c r="D64">
        <v>43</v>
      </c>
      <c r="E64">
        <v>0</v>
      </c>
      <c r="F64">
        <f t="shared" si="4"/>
        <v>0</v>
      </c>
      <c r="G64">
        <f t="shared" si="5"/>
        <v>6.0480530153880455E-2</v>
      </c>
      <c r="H64">
        <f t="shared" si="6"/>
        <v>0</v>
      </c>
      <c r="I64" t="str">
        <f t="shared" si="7"/>
        <v>KONTROL İÇİNDE</v>
      </c>
    </row>
    <row r="65" spans="2:10" ht="28.5" customHeight="1" x14ac:dyDescent="0.35">
      <c r="B65" s="21">
        <v>46126</v>
      </c>
      <c r="C65">
        <v>14</v>
      </c>
      <c r="D65">
        <v>14</v>
      </c>
      <c r="E65">
        <v>0</v>
      </c>
      <c r="F65">
        <f t="shared" si="4"/>
        <v>0</v>
      </c>
      <c r="G65">
        <f t="shared" si="5"/>
        <v>9.7291518660526946E-2</v>
      </c>
      <c r="H65">
        <f t="shared" si="6"/>
        <v>0</v>
      </c>
      <c r="I65" t="str">
        <f t="shared" si="7"/>
        <v>KONTROL İÇİNDE</v>
      </c>
    </row>
    <row r="66" spans="2:10" ht="28.5" customHeight="1" x14ac:dyDescent="0.35">
      <c r="B66" s="21">
        <v>46127</v>
      </c>
      <c r="C66">
        <v>5</v>
      </c>
      <c r="D66">
        <v>5</v>
      </c>
      <c r="E66">
        <v>0</v>
      </c>
      <c r="F66">
        <f t="shared" ref="F66:F97" si="8">E66/D66</f>
        <v>0</v>
      </c>
      <c r="G66">
        <f t="shared" ref="G66:G97" si="9">$F$152+3*SQRT($F$152*(1-$F$152)/D66)</f>
        <v>0.15501258709215021</v>
      </c>
      <c r="H66">
        <f t="shared" ref="H66:H97" si="10">MAX(0,$F$152-3*SQRT($F$152*(1-$F$152)/D66))</f>
        <v>0</v>
      </c>
      <c r="I66" t="str">
        <f t="shared" ref="I66:I97" si="11">IF(AND(F66&lt;=G66,F66&gt;=H66),"KONTROL İÇİNDE"," KONTROL DIŞINDA")</f>
        <v>KONTROL İÇİNDE</v>
      </c>
    </row>
    <row r="67" spans="2:10" ht="28.5" customHeight="1" x14ac:dyDescent="0.35">
      <c r="B67" s="21">
        <v>46128</v>
      </c>
      <c r="C67">
        <v>53</v>
      </c>
      <c r="D67">
        <v>53</v>
      </c>
      <c r="E67">
        <v>0</v>
      </c>
      <c r="F67">
        <f t="shared" si="8"/>
        <v>0</v>
      </c>
      <c r="G67">
        <f t="shared" si="9"/>
        <v>5.5624900955458703E-2</v>
      </c>
      <c r="H67">
        <f t="shared" si="10"/>
        <v>0</v>
      </c>
      <c r="I67" t="str">
        <f t="shared" si="11"/>
        <v>KONTROL İÇİNDE</v>
      </c>
    </row>
    <row r="68" spans="2:10" ht="28.5" customHeight="1" x14ac:dyDescent="0.35">
      <c r="B68" s="21">
        <v>46132</v>
      </c>
      <c r="C68">
        <v>8</v>
      </c>
      <c r="D68">
        <v>8</v>
      </c>
      <c r="E68">
        <v>0</v>
      </c>
      <c r="F68">
        <f t="shared" si="8"/>
        <v>0</v>
      </c>
      <c r="G68">
        <f t="shared" si="9"/>
        <v>0.12497037320074438</v>
      </c>
      <c r="H68">
        <f t="shared" si="10"/>
        <v>0</v>
      </c>
      <c r="I68" t="str">
        <f t="shared" si="11"/>
        <v>KONTROL İÇİNDE</v>
      </c>
    </row>
    <row r="69" spans="2:10" ht="28.5" customHeight="1" x14ac:dyDescent="0.35">
      <c r="B69" s="21">
        <v>46133</v>
      </c>
      <c r="C69">
        <v>19</v>
      </c>
      <c r="D69">
        <v>19</v>
      </c>
      <c r="E69">
        <v>0</v>
      </c>
      <c r="F69">
        <f t="shared" si="8"/>
        <v>0</v>
      </c>
      <c r="G69">
        <f t="shared" si="9"/>
        <v>8.5152287825453088E-2</v>
      </c>
      <c r="H69">
        <f t="shared" si="10"/>
        <v>0</v>
      </c>
      <c r="I69" t="str">
        <f t="shared" si="11"/>
        <v>KONTROL İÇİNDE</v>
      </c>
    </row>
    <row r="70" spans="2:10" ht="28.5" customHeight="1" x14ac:dyDescent="0.35">
      <c r="B70" s="21">
        <v>46134</v>
      </c>
      <c r="C70">
        <v>2</v>
      </c>
      <c r="D70">
        <v>2</v>
      </c>
      <c r="E70">
        <v>0</v>
      </c>
      <c r="F70">
        <f t="shared" si="8"/>
        <v>0</v>
      </c>
      <c r="G70">
        <f t="shared" si="9"/>
        <v>0.23837527758694932</v>
      </c>
      <c r="H70">
        <f t="shared" si="10"/>
        <v>0</v>
      </c>
      <c r="I70" t="str">
        <f t="shared" si="11"/>
        <v>KONTROL İÇİNDE</v>
      </c>
    </row>
    <row r="71" spans="2:10" ht="28.5" customHeight="1" x14ac:dyDescent="0.35">
      <c r="B71" s="21">
        <v>46136</v>
      </c>
      <c r="C71">
        <v>51</v>
      </c>
      <c r="D71">
        <v>51</v>
      </c>
      <c r="E71">
        <v>0</v>
      </c>
      <c r="F71">
        <f t="shared" si="8"/>
        <v>0</v>
      </c>
      <c r="G71">
        <f t="shared" si="9"/>
        <v>5.6480503790341641E-2</v>
      </c>
      <c r="H71">
        <f t="shared" si="10"/>
        <v>0</v>
      </c>
      <c r="I71" t="str">
        <f t="shared" si="11"/>
        <v>KONTROL İÇİNDE</v>
      </c>
    </row>
    <row r="72" spans="2:10" ht="28.5" customHeight="1" x14ac:dyDescent="0.35">
      <c r="B72" s="21">
        <v>46139</v>
      </c>
      <c r="C72">
        <v>22</v>
      </c>
      <c r="D72">
        <v>22</v>
      </c>
      <c r="E72">
        <v>0</v>
      </c>
      <c r="F72">
        <f t="shared" si="8"/>
        <v>0</v>
      </c>
      <c r="G72">
        <f t="shared" si="9"/>
        <v>7.9951199220934188E-2</v>
      </c>
      <c r="H72">
        <f t="shared" si="10"/>
        <v>0</v>
      </c>
      <c r="I72" t="str">
        <f t="shared" si="11"/>
        <v>KONTROL İÇİNDE</v>
      </c>
    </row>
    <row r="73" spans="2:10" ht="28.5" customHeight="1" x14ac:dyDescent="0.35">
      <c r="B73" s="21">
        <v>46140</v>
      </c>
      <c r="C73">
        <v>72</v>
      </c>
      <c r="D73">
        <v>72</v>
      </c>
      <c r="E73">
        <v>0</v>
      </c>
      <c r="F73">
        <f t="shared" si="8"/>
        <v>0</v>
      </c>
      <c r="G73">
        <f t="shared" si="9"/>
        <v>4.9367103609941093E-2</v>
      </c>
      <c r="H73">
        <f t="shared" si="10"/>
        <v>0</v>
      </c>
      <c r="I73" t="str">
        <f t="shared" si="11"/>
        <v>KONTROL İÇİNDE</v>
      </c>
    </row>
    <row r="74" spans="2:10" ht="28.5" customHeight="1" x14ac:dyDescent="0.35">
      <c r="B74" s="21">
        <v>46141</v>
      </c>
      <c r="C74">
        <v>9</v>
      </c>
      <c r="D74">
        <v>9</v>
      </c>
      <c r="E74">
        <v>0</v>
      </c>
      <c r="F74">
        <f t="shared" si="8"/>
        <v>0</v>
      </c>
      <c r="G74">
        <f t="shared" si="9"/>
        <v>0.11848463802960284</v>
      </c>
      <c r="H74">
        <f t="shared" si="10"/>
        <v>0</v>
      </c>
      <c r="I74" t="str">
        <f t="shared" si="11"/>
        <v>KONTROL İÇİNDE</v>
      </c>
    </row>
    <row r="75" spans="2:10" ht="28.5" customHeight="1" x14ac:dyDescent="0.35">
      <c r="B75" s="21">
        <v>46142</v>
      </c>
      <c r="C75">
        <v>8</v>
      </c>
      <c r="D75">
        <v>8</v>
      </c>
      <c r="E75">
        <v>0</v>
      </c>
      <c r="F75">
        <f t="shared" si="8"/>
        <v>0</v>
      </c>
      <c r="G75">
        <f t="shared" si="9"/>
        <v>0.12497037320074438</v>
      </c>
      <c r="H75">
        <f t="shared" si="10"/>
        <v>0</v>
      </c>
      <c r="I75" t="str">
        <f t="shared" si="11"/>
        <v>KONTROL İÇİNDE</v>
      </c>
    </row>
    <row r="76" spans="2:10" ht="28.5" customHeight="1" x14ac:dyDescent="0.35">
      <c r="B76" s="21">
        <v>46147</v>
      </c>
      <c r="C76">
        <v>9</v>
      </c>
      <c r="D76">
        <v>9</v>
      </c>
      <c r="E76">
        <v>2</v>
      </c>
      <c r="F76">
        <f t="shared" si="8"/>
        <v>0.22222222222222221</v>
      </c>
      <c r="G76">
        <f t="shared" si="9"/>
        <v>0.11848463802960284</v>
      </c>
      <c r="H76">
        <f t="shared" si="10"/>
        <v>0</v>
      </c>
      <c r="I76" t="str">
        <f t="shared" si="11"/>
        <v xml:space="preserve"> KONTROL DIŞINDA</v>
      </c>
      <c r="J76" t="s">
        <v>43</v>
      </c>
    </row>
    <row r="77" spans="2:10" ht="28.5" customHeight="1" x14ac:dyDescent="0.35">
      <c r="B77" s="21">
        <v>46148</v>
      </c>
      <c r="C77">
        <v>5</v>
      </c>
      <c r="D77">
        <v>5</v>
      </c>
      <c r="E77">
        <v>0</v>
      </c>
      <c r="F77">
        <f t="shared" si="8"/>
        <v>0</v>
      </c>
      <c r="G77">
        <f t="shared" si="9"/>
        <v>0.15501258709215021</v>
      </c>
      <c r="H77">
        <f t="shared" si="10"/>
        <v>0</v>
      </c>
      <c r="I77" t="str">
        <f t="shared" si="11"/>
        <v>KONTROL İÇİNDE</v>
      </c>
    </row>
    <row r="78" spans="2:10" ht="28.5" customHeight="1" x14ac:dyDescent="0.35">
      <c r="B78" s="21">
        <v>46149</v>
      </c>
      <c r="C78">
        <v>6</v>
      </c>
      <c r="D78">
        <v>6</v>
      </c>
      <c r="E78">
        <v>0</v>
      </c>
      <c r="F78">
        <f t="shared" si="8"/>
        <v>0</v>
      </c>
      <c r="G78">
        <f t="shared" si="9"/>
        <v>0.14251417296413782</v>
      </c>
      <c r="H78">
        <f t="shared" si="10"/>
        <v>0</v>
      </c>
      <c r="I78" t="str">
        <f t="shared" si="11"/>
        <v>KONTROL İÇİNDE</v>
      </c>
    </row>
    <row r="79" spans="2:10" ht="28.5" customHeight="1" x14ac:dyDescent="0.35">
      <c r="B79" s="21">
        <v>46150</v>
      </c>
      <c r="C79">
        <v>2</v>
      </c>
      <c r="D79">
        <v>2</v>
      </c>
      <c r="E79">
        <v>0</v>
      </c>
      <c r="F79">
        <f t="shared" si="8"/>
        <v>0</v>
      </c>
      <c r="G79">
        <f t="shared" si="9"/>
        <v>0.23837527758694932</v>
      </c>
      <c r="H79">
        <f t="shared" si="10"/>
        <v>0</v>
      </c>
      <c r="I79" t="str">
        <f t="shared" si="11"/>
        <v>KONTROL İÇİNDE</v>
      </c>
    </row>
    <row r="80" spans="2:10" ht="28.5" customHeight="1" x14ac:dyDescent="0.35">
      <c r="B80" s="21">
        <v>46153</v>
      </c>
      <c r="C80">
        <v>1</v>
      </c>
      <c r="D80">
        <v>1</v>
      </c>
      <c r="E80">
        <v>0</v>
      </c>
      <c r="F80">
        <f t="shared" si="8"/>
        <v>0</v>
      </c>
      <c r="G80">
        <f t="shared" si="9"/>
        <v>0.33232297645972969</v>
      </c>
      <c r="H80">
        <f t="shared" si="10"/>
        <v>0</v>
      </c>
      <c r="I80" t="str">
        <f t="shared" si="11"/>
        <v>KONTROL İÇİNDE</v>
      </c>
    </row>
    <row r="81" spans="2:9" ht="28.5" customHeight="1" x14ac:dyDescent="0.35">
      <c r="B81" s="21">
        <v>46156</v>
      </c>
      <c r="C81">
        <v>70</v>
      </c>
      <c r="D81">
        <v>70</v>
      </c>
      <c r="E81">
        <v>0</v>
      </c>
      <c r="F81">
        <f t="shared" si="8"/>
        <v>0</v>
      </c>
      <c r="G81">
        <f t="shared" si="9"/>
        <v>4.990332379417213E-2</v>
      </c>
      <c r="H81">
        <f t="shared" si="10"/>
        <v>0</v>
      </c>
      <c r="I81" t="str">
        <f t="shared" si="11"/>
        <v>KONTROL İÇİNDE</v>
      </c>
    </row>
    <row r="82" spans="2:9" ht="28.5" customHeight="1" x14ac:dyDescent="0.35">
      <c r="B82" s="21">
        <v>46160</v>
      </c>
      <c r="C82">
        <v>3</v>
      </c>
      <c r="D82">
        <v>3</v>
      </c>
      <c r="E82">
        <v>0</v>
      </c>
      <c r="F82">
        <f t="shared" si="8"/>
        <v>0</v>
      </c>
      <c r="G82">
        <f t="shared" si="9"/>
        <v>0.19675490219808348</v>
      </c>
      <c r="H82">
        <f t="shared" si="10"/>
        <v>0</v>
      </c>
      <c r="I82" t="str">
        <f t="shared" si="11"/>
        <v>KONTROL İÇİNDE</v>
      </c>
    </row>
    <row r="83" spans="2:9" ht="28.5" customHeight="1" x14ac:dyDescent="0.35">
      <c r="B83" s="21">
        <v>46163</v>
      </c>
      <c r="C83">
        <v>2</v>
      </c>
      <c r="D83">
        <v>2</v>
      </c>
      <c r="E83">
        <v>0</v>
      </c>
      <c r="F83">
        <f t="shared" si="8"/>
        <v>0</v>
      </c>
      <c r="G83">
        <f t="shared" si="9"/>
        <v>0.23837527758694932</v>
      </c>
      <c r="H83">
        <f t="shared" si="10"/>
        <v>0</v>
      </c>
      <c r="I83" t="str">
        <f t="shared" si="11"/>
        <v>KONTROL İÇİNDE</v>
      </c>
    </row>
    <row r="84" spans="2:9" ht="28.5" customHeight="1" x14ac:dyDescent="0.35">
      <c r="B84" s="21">
        <v>46176</v>
      </c>
      <c r="C84">
        <v>8</v>
      </c>
      <c r="D84">
        <v>8</v>
      </c>
      <c r="E84">
        <v>0</v>
      </c>
      <c r="F84">
        <f t="shared" si="8"/>
        <v>0</v>
      </c>
      <c r="G84">
        <f t="shared" si="9"/>
        <v>0.12497037320074438</v>
      </c>
      <c r="H84">
        <f t="shared" si="10"/>
        <v>0</v>
      </c>
      <c r="I84" t="str">
        <f t="shared" si="11"/>
        <v>KONTROL İÇİNDE</v>
      </c>
    </row>
    <row r="85" spans="2:9" ht="28.5" customHeight="1" x14ac:dyDescent="0.35">
      <c r="B85" s="21">
        <v>46177</v>
      </c>
      <c r="C85">
        <v>18</v>
      </c>
      <c r="D85">
        <v>18</v>
      </c>
      <c r="E85">
        <v>0</v>
      </c>
      <c r="F85">
        <f t="shared" si="8"/>
        <v>0</v>
      </c>
      <c r="G85">
        <f t="shared" si="9"/>
        <v>8.7168738405342741E-2</v>
      </c>
      <c r="H85">
        <f t="shared" si="10"/>
        <v>0</v>
      </c>
      <c r="I85" t="str">
        <f t="shared" si="11"/>
        <v>KONTROL İÇİNDE</v>
      </c>
    </row>
    <row r="86" spans="2:9" ht="28.5" customHeight="1" x14ac:dyDescent="0.35">
      <c r="B86" s="21">
        <v>46178</v>
      </c>
      <c r="C86">
        <v>6</v>
      </c>
      <c r="D86">
        <v>6</v>
      </c>
      <c r="E86">
        <v>0</v>
      </c>
      <c r="F86">
        <f t="shared" si="8"/>
        <v>0</v>
      </c>
      <c r="G86">
        <f t="shared" si="9"/>
        <v>0.14251417296413782</v>
      </c>
      <c r="H86">
        <f t="shared" si="10"/>
        <v>0</v>
      </c>
      <c r="I86" t="str">
        <f t="shared" si="11"/>
        <v>KONTROL İÇİNDE</v>
      </c>
    </row>
    <row r="87" spans="2:9" ht="28.5" customHeight="1" x14ac:dyDescent="0.35">
      <c r="B87" s="21">
        <v>46181</v>
      </c>
      <c r="C87">
        <v>35</v>
      </c>
      <c r="D87">
        <v>35</v>
      </c>
      <c r="E87">
        <v>0</v>
      </c>
      <c r="F87">
        <f t="shared" si="8"/>
        <v>0</v>
      </c>
      <c r="G87">
        <f t="shared" si="9"/>
        <v>6.5783383279028884E-2</v>
      </c>
      <c r="H87">
        <f t="shared" si="10"/>
        <v>0</v>
      </c>
      <c r="I87" t="str">
        <f t="shared" si="11"/>
        <v>KONTROL İÇİNDE</v>
      </c>
    </row>
    <row r="88" spans="2:9" ht="28.5" customHeight="1" x14ac:dyDescent="0.35">
      <c r="B88" s="21">
        <v>46182</v>
      </c>
      <c r="C88">
        <v>13</v>
      </c>
      <c r="D88">
        <v>13</v>
      </c>
      <c r="E88">
        <v>0</v>
      </c>
      <c r="F88">
        <f t="shared" si="8"/>
        <v>0</v>
      </c>
      <c r="G88">
        <f t="shared" si="9"/>
        <v>0.10052759503029066</v>
      </c>
      <c r="H88">
        <f t="shared" si="10"/>
        <v>0</v>
      </c>
      <c r="I88" t="str">
        <f t="shared" si="11"/>
        <v>KONTROL İÇİNDE</v>
      </c>
    </row>
    <row r="89" spans="2:9" ht="28.5" customHeight="1" x14ac:dyDescent="0.35">
      <c r="B89" s="21">
        <v>46183</v>
      </c>
      <c r="C89">
        <v>67</v>
      </c>
      <c r="D89">
        <v>67</v>
      </c>
      <c r="E89">
        <v>0</v>
      </c>
      <c r="F89">
        <f t="shared" si="8"/>
        <v>0</v>
      </c>
      <c r="G89">
        <f t="shared" si="9"/>
        <v>5.0752235296665657E-2</v>
      </c>
      <c r="H89">
        <f t="shared" si="10"/>
        <v>0</v>
      </c>
      <c r="I89" t="str">
        <f t="shared" si="11"/>
        <v>KONTROL İÇİNDE</v>
      </c>
    </row>
    <row r="90" spans="2:9" ht="28.5" customHeight="1" x14ac:dyDescent="0.35">
      <c r="B90" s="21">
        <v>46184</v>
      </c>
      <c r="C90">
        <v>147</v>
      </c>
      <c r="D90">
        <v>147</v>
      </c>
      <c r="E90">
        <v>0</v>
      </c>
      <c r="F90">
        <f t="shared" si="8"/>
        <v>0</v>
      </c>
      <c r="G90">
        <f t="shared" si="9"/>
        <v>3.8021102155045734E-2</v>
      </c>
      <c r="H90">
        <f t="shared" si="10"/>
        <v>0</v>
      </c>
      <c r="I90" t="str">
        <f t="shared" si="11"/>
        <v>KONTROL İÇİNDE</v>
      </c>
    </row>
    <row r="91" spans="2:9" ht="28.5" customHeight="1" x14ac:dyDescent="0.35">
      <c r="B91" s="21">
        <v>46185</v>
      </c>
      <c r="C91">
        <v>4</v>
      </c>
      <c r="D91">
        <v>4</v>
      </c>
      <c r="E91">
        <v>0</v>
      </c>
      <c r="F91">
        <f t="shared" si="8"/>
        <v>0</v>
      </c>
      <c r="G91">
        <f t="shared" si="9"/>
        <v>0.17194422263713457</v>
      </c>
      <c r="H91">
        <f t="shared" si="10"/>
        <v>0</v>
      </c>
      <c r="I91" t="str">
        <f t="shared" si="11"/>
        <v>KONTROL İÇİNDE</v>
      </c>
    </row>
    <row r="92" spans="2:9" ht="28.5" customHeight="1" x14ac:dyDescent="0.35">
      <c r="B92" s="21">
        <v>46186</v>
      </c>
      <c r="C92">
        <v>15</v>
      </c>
      <c r="D92">
        <v>15</v>
      </c>
      <c r="E92">
        <v>5</v>
      </c>
      <c r="F92">
        <f t="shared" si="8"/>
        <v>0.33333333333333331</v>
      </c>
      <c r="G92">
        <f t="shared" si="9"/>
        <v>9.4384701166594101E-2</v>
      </c>
      <c r="H92">
        <f t="shared" si="10"/>
        <v>0</v>
      </c>
      <c r="I92" t="str">
        <f t="shared" si="11"/>
        <v xml:space="preserve"> KONTROL DIŞINDA</v>
      </c>
    </row>
    <row r="93" spans="2:9" ht="28.5" customHeight="1" x14ac:dyDescent="0.35">
      <c r="B93" s="21">
        <v>46188</v>
      </c>
      <c r="C93">
        <v>5</v>
      </c>
      <c r="D93">
        <v>5</v>
      </c>
      <c r="E93">
        <v>0</v>
      </c>
      <c r="F93">
        <f t="shared" si="8"/>
        <v>0</v>
      </c>
      <c r="G93">
        <f t="shared" si="9"/>
        <v>0.15501258709215021</v>
      </c>
      <c r="H93">
        <f t="shared" si="10"/>
        <v>0</v>
      </c>
      <c r="I93" t="str">
        <f t="shared" si="11"/>
        <v>KONTROL İÇİNDE</v>
      </c>
    </row>
    <row r="94" spans="2:9" ht="28.5" customHeight="1" x14ac:dyDescent="0.35">
      <c r="B94" s="21">
        <v>46189</v>
      </c>
      <c r="C94">
        <v>19</v>
      </c>
      <c r="D94">
        <v>19</v>
      </c>
      <c r="E94">
        <v>0</v>
      </c>
      <c r="F94">
        <f t="shared" si="8"/>
        <v>0</v>
      </c>
      <c r="G94">
        <f t="shared" si="9"/>
        <v>8.5152287825453088E-2</v>
      </c>
      <c r="H94">
        <f t="shared" si="10"/>
        <v>0</v>
      </c>
      <c r="I94" t="str">
        <f t="shared" si="11"/>
        <v>KONTROL İÇİNDE</v>
      </c>
    </row>
    <row r="95" spans="2:9" ht="28.5" customHeight="1" x14ac:dyDescent="0.35">
      <c r="B95" s="21">
        <v>46190</v>
      </c>
      <c r="C95">
        <v>9</v>
      </c>
      <c r="D95">
        <v>9</v>
      </c>
      <c r="E95">
        <v>0</v>
      </c>
      <c r="F95">
        <f t="shared" si="8"/>
        <v>0</v>
      </c>
      <c r="G95">
        <f t="shared" si="9"/>
        <v>0.11848463802960284</v>
      </c>
      <c r="H95">
        <f t="shared" si="10"/>
        <v>0</v>
      </c>
      <c r="I95" t="str">
        <f t="shared" si="11"/>
        <v>KONTROL İÇİNDE</v>
      </c>
    </row>
    <row r="96" spans="2:9" ht="28.5" customHeight="1" x14ac:dyDescent="0.35">
      <c r="B96" s="21">
        <v>46191</v>
      </c>
      <c r="C96">
        <v>7</v>
      </c>
      <c r="D96">
        <v>7</v>
      </c>
      <c r="E96">
        <v>0</v>
      </c>
      <c r="F96">
        <f t="shared" si="8"/>
        <v>0</v>
      </c>
      <c r="G96">
        <f t="shared" si="9"/>
        <v>0.13280041115540694</v>
      </c>
      <c r="H96">
        <f t="shared" si="10"/>
        <v>0</v>
      </c>
      <c r="I96" t="str">
        <f t="shared" si="11"/>
        <v>KONTROL İÇİNDE</v>
      </c>
    </row>
    <row r="97" spans="2:10" ht="28.5" customHeight="1" x14ac:dyDescent="0.35">
      <c r="B97" s="21">
        <v>46192</v>
      </c>
      <c r="C97">
        <v>69</v>
      </c>
      <c r="D97">
        <v>69</v>
      </c>
      <c r="E97">
        <v>3</v>
      </c>
      <c r="F97">
        <f t="shared" si="8"/>
        <v>4.3478260869565216E-2</v>
      </c>
      <c r="G97">
        <f t="shared" si="9"/>
        <v>5.0180135006070804E-2</v>
      </c>
      <c r="H97">
        <f t="shared" si="10"/>
        <v>0</v>
      </c>
      <c r="I97" t="str">
        <f t="shared" si="11"/>
        <v>KONTROL İÇİNDE</v>
      </c>
    </row>
    <row r="98" spans="2:10" ht="28.5" customHeight="1" x14ac:dyDescent="0.35">
      <c r="B98" s="21">
        <v>46195</v>
      </c>
      <c r="C98">
        <v>3</v>
      </c>
      <c r="D98">
        <v>3</v>
      </c>
      <c r="E98">
        <v>0</v>
      </c>
      <c r="F98">
        <f t="shared" ref="F98:F129" si="12">E98/D98</f>
        <v>0</v>
      </c>
      <c r="G98">
        <f t="shared" ref="G98:G129" si="13">$F$152+3*SQRT($F$152*(1-$F$152)/D98)</f>
        <v>0.19675490219808348</v>
      </c>
      <c r="H98">
        <f t="shared" ref="H98:H129" si="14">MAX(0,$F$152-3*SQRT($F$152*(1-$F$152)/D98))</f>
        <v>0</v>
      </c>
      <c r="I98" t="str">
        <f t="shared" ref="I98:I129" si="15">IF(AND(F98&lt;=G98,F98&gt;=H98),"KONTROL İÇİNDE"," KONTROL DIŞINDA")</f>
        <v>KONTROL İÇİNDE</v>
      </c>
    </row>
    <row r="99" spans="2:10" ht="28.5" customHeight="1" x14ac:dyDescent="0.35">
      <c r="B99" s="21">
        <v>46196</v>
      </c>
      <c r="C99">
        <v>68</v>
      </c>
      <c r="D99">
        <v>68</v>
      </c>
      <c r="E99">
        <v>0</v>
      </c>
      <c r="F99">
        <f t="shared" si="12"/>
        <v>0</v>
      </c>
      <c r="G99">
        <f t="shared" si="13"/>
        <v>5.0463030115450724E-2</v>
      </c>
      <c r="H99">
        <f t="shared" si="14"/>
        <v>0</v>
      </c>
      <c r="I99" t="str">
        <f t="shared" si="15"/>
        <v>KONTROL İÇİNDE</v>
      </c>
    </row>
    <row r="100" spans="2:10" ht="28.5" customHeight="1" x14ac:dyDescent="0.35">
      <c r="B100" s="21">
        <v>46197</v>
      </c>
      <c r="C100">
        <v>12</v>
      </c>
      <c r="D100">
        <v>12</v>
      </c>
      <c r="E100">
        <v>0</v>
      </c>
      <c r="F100">
        <f t="shared" si="12"/>
        <v>0</v>
      </c>
      <c r="G100">
        <f t="shared" si="13"/>
        <v>0.10416018550631145</v>
      </c>
      <c r="H100">
        <f t="shared" si="14"/>
        <v>0</v>
      </c>
      <c r="I100" t="str">
        <f t="shared" si="15"/>
        <v>KONTROL İÇİNDE</v>
      </c>
    </row>
    <row r="101" spans="2:10" ht="28.5" customHeight="1" x14ac:dyDescent="0.35">
      <c r="B101" s="21">
        <v>46198</v>
      </c>
      <c r="C101">
        <v>47</v>
      </c>
      <c r="D101">
        <v>47</v>
      </c>
      <c r="E101">
        <v>0</v>
      </c>
      <c r="F101">
        <f t="shared" si="12"/>
        <v>0</v>
      </c>
      <c r="G101">
        <f t="shared" si="13"/>
        <v>5.8352759940090961E-2</v>
      </c>
      <c r="H101">
        <f t="shared" si="14"/>
        <v>0</v>
      </c>
      <c r="I101" t="str">
        <f t="shared" si="15"/>
        <v>KONTROL İÇİNDE</v>
      </c>
    </row>
    <row r="102" spans="2:10" ht="28.5" customHeight="1" x14ac:dyDescent="0.35">
      <c r="B102" s="21">
        <v>46199</v>
      </c>
      <c r="C102">
        <v>8</v>
      </c>
      <c r="D102">
        <v>8</v>
      </c>
      <c r="E102">
        <v>1</v>
      </c>
      <c r="F102">
        <f t="shared" si="12"/>
        <v>0.125</v>
      </c>
      <c r="G102">
        <f t="shared" si="13"/>
        <v>0.12497037320074438</v>
      </c>
      <c r="H102">
        <f t="shared" si="14"/>
        <v>0</v>
      </c>
      <c r="I102" t="str">
        <f t="shared" si="15"/>
        <v xml:space="preserve"> KONTROL DIŞINDA</v>
      </c>
      <c r="J102" s="7" t="s">
        <v>44</v>
      </c>
    </row>
    <row r="103" spans="2:10" ht="28.5" customHeight="1" x14ac:dyDescent="0.35">
      <c r="B103" s="21">
        <v>46203</v>
      </c>
      <c r="C103">
        <v>12</v>
      </c>
      <c r="D103">
        <v>12</v>
      </c>
      <c r="E103">
        <v>0</v>
      </c>
      <c r="F103">
        <f t="shared" si="12"/>
        <v>0</v>
      </c>
      <c r="G103">
        <f t="shared" si="13"/>
        <v>0.10416018550631145</v>
      </c>
      <c r="H103">
        <f t="shared" si="14"/>
        <v>0</v>
      </c>
      <c r="I103" t="str">
        <f t="shared" si="15"/>
        <v>KONTROL İÇİNDE</v>
      </c>
    </row>
    <row r="104" spans="2:10" ht="28.5" customHeight="1" x14ac:dyDescent="0.35">
      <c r="B104" s="21">
        <v>46205</v>
      </c>
      <c r="C104">
        <v>16</v>
      </c>
      <c r="D104">
        <v>16</v>
      </c>
      <c r="E104">
        <v>0</v>
      </c>
      <c r="F104">
        <f t="shared" si="12"/>
        <v>0</v>
      </c>
      <c r="G104">
        <f t="shared" si="13"/>
        <v>9.1754845725837003E-2</v>
      </c>
      <c r="H104">
        <f t="shared" si="14"/>
        <v>0</v>
      </c>
      <c r="I104" t="str">
        <f t="shared" si="15"/>
        <v>KONTROL İÇİNDE</v>
      </c>
    </row>
    <row r="105" spans="2:10" ht="28.5" customHeight="1" x14ac:dyDescent="0.35">
      <c r="B105" s="21">
        <v>46206</v>
      </c>
      <c r="C105">
        <v>27</v>
      </c>
      <c r="D105">
        <v>27</v>
      </c>
      <c r="E105">
        <v>0</v>
      </c>
      <c r="F105">
        <f t="shared" si="12"/>
        <v>0</v>
      </c>
      <c r="G105">
        <f t="shared" si="13"/>
        <v>7.3295279942387451E-2</v>
      </c>
      <c r="H105">
        <f t="shared" si="14"/>
        <v>0</v>
      </c>
      <c r="I105" t="str">
        <f t="shared" si="15"/>
        <v>KONTROL İÇİNDE</v>
      </c>
    </row>
    <row r="106" spans="2:10" ht="28.5" customHeight="1" x14ac:dyDescent="0.35">
      <c r="B106" s="21">
        <v>46207</v>
      </c>
      <c r="C106">
        <v>224</v>
      </c>
      <c r="D106">
        <v>224</v>
      </c>
      <c r="E106">
        <v>0</v>
      </c>
      <c r="F106">
        <f t="shared" si="12"/>
        <v>0</v>
      </c>
      <c r="G106">
        <f t="shared" si="13"/>
        <v>3.299698127603632E-2</v>
      </c>
      <c r="H106">
        <f t="shared" si="14"/>
        <v>0</v>
      </c>
      <c r="I106" t="str">
        <f t="shared" si="15"/>
        <v>KONTROL İÇİNDE</v>
      </c>
    </row>
    <row r="107" spans="2:10" ht="28.5" customHeight="1" x14ac:dyDescent="0.35">
      <c r="B107" s="21">
        <v>46209</v>
      </c>
      <c r="C107">
        <v>24</v>
      </c>
      <c r="D107">
        <v>24</v>
      </c>
      <c r="E107">
        <v>0</v>
      </c>
      <c r="F107">
        <f t="shared" si="12"/>
        <v>0</v>
      </c>
      <c r="G107">
        <f t="shared" si="13"/>
        <v>7.7039820889338625E-2</v>
      </c>
      <c r="H107">
        <f t="shared" si="14"/>
        <v>0</v>
      </c>
      <c r="I107" t="str">
        <f t="shared" si="15"/>
        <v>KONTROL İÇİNDE</v>
      </c>
    </row>
    <row r="108" spans="2:10" ht="28.5" customHeight="1" x14ac:dyDescent="0.35">
      <c r="B108" s="21">
        <v>46210</v>
      </c>
      <c r="C108">
        <v>11</v>
      </c>
      <c r="D108">
        <v>11</v>
      </c>
      <c r="E108">
        <v>0</v>
      </c>
      <c r="F108">
        <f t="shared" si="12"/>
        <v>0</v>
      </c>
      <c r="G108">
        <f t="shared" si="13"/>
        <v>0.10827749622805304</v>
      </c>
      <c r="H108">
        <f t="shared" si="14"/>
        <v>0</v>
      </c>
      <c r="I108" t="str">
        <f t="shared" si="15"/>
        <v>KONTROL İÇİNDE</v>
      </c>
    </row>
    <row r="109" spans="2:10" ht="28.5" customHeight="1" x14ac:dyDescent="0.35">
      <c r="B109" s="21">
        <v>46211</v>
      </c>
      <c r="C109">
        <v>60</v>
      </c>
      <c r="D109">
        <v>60</v>
      </c>
      <c r="E109">
        <v>0</v>
      </c>
      <c r="F109">
        <f t="shared" si="12"/>
        <v>0</v>
      </c>
      <c r="G109">
        <f t="shared" si="13"/>
        <v>5.2975084990566773E-2</v>
      </c>
      <c r="H109">
        <f t="shared" si="14"/>
        <v>0</v>
      </c>
      <c r="I109" t="str">
        <f t="shared" si="15"/>
        <v>KONTROL İÇİNDE</v>
      </c>
    </row>
    <row r="110" spans="2:10" ht="28.5" customHeight="1" x14ac:dyDescent="0.35">
      <c r="B110" s="21">
        <v>46212</v>
      </c>
      <c r="C110">
        <v>41</v>
      </c>
      <c r="D110">
        <v>41</v>
      </c>
      <c r="E110">
        <v>0</v>
      </c>
      <c r="F110">
        <f t="shared" si="12"/>
        <v>0</v>
      </c>
      <c r="G110">
        <f t="shared" si="13"/>
        <v>6.165937543750212E-2</v>
      </c>
      <c r="H110">
        <f t="shared" si="14"/>
        <v>0</v>
      </c>
      <c r="I110" t="str">
        <f t="shared" si="15"/>
        <v>KONTROL İÇİNDE</v>
      </c>
    </row>
    <row r="111" spans="2:10" ht="28.5" customHeight="1" x14ac:dyDescent="0.35">
      <c r="B111" s="21">
        <v>46213</v>
      </c>
      <c r="C111">
        <v>4</v>
      </c>
      <c r="D111">
        <v>4</v>
      </c>
      <c r="E111">
        <v>0</v>
      </c>
      <c r="F111">
        <f t="shared" si="12"/>
        <v>0</v>
      </c>
      <c r="G111">
        <f t="shared" si="13"/>
        <v>0.17194422263713457</v>
      </c>
      <c r="H111">
        <f t="shared" si="14"/>
        <v>0</v>
      </c>
      <c r="I111" t="str">
        <f t="shared" si="15"/>
        <v>KONTROL İÇİNDE</v>
      </c>
    </row>
    <row r="112" spans="2:10" ht="28.5" customHeight="1" x14ac:dyDescent="0.35">
      <c r="B112" s="21">
        <v>46216</v>
      </c>
      <c r="C112">
        <v>3</v>
      </c>
      <c r="D112">
        <v>3</v>
      </c>
      <c r="E112">
        <v>0</v>
      </c>
      <c r="F112">
        <f t="shared" si="12"/>
        <v>0</v>
      </c>
      <c r="G112">
        <f t="shared" si="13"/>
        <v>0.19675490219808348</v>
      </c>
      <c r="H112">
        <f t="shared" si="14"/>
        <v>0</v>
      </c>
      <c r="I112" t="str">
        <f t="shared" si="15"/>
        <v>KONTROL İÇİNDE</v>
      </c>
    </row>
    <row r="113" spans="2:9" ht="28.5" customHeight="1" x14ac:dyDescent="0.35">
      <c r="B113" s="21">
        <v>46217</v>
      </c>
      <c r="C113">
        <v>8</v>
      </c>
      <c r="D113">
        <v>8</v>
      </c>
      <c r="E113">
        <v>0</v>
      </c>
      <c r="F113">
        <f t="shared" si="12"/>
        <v>0</v>
      </c>
      <c r="G113">
        <f t="shared" si="13"/>
        <v>0.12497037320074438</v>
      </c>
      <c r="H113">
        <f t="shared" si="14"/>
        <v>0</v>
      </c>
      <c r="I113" t="str">
        <f t="shared" si="15"/>
        <v>KONTROL İÇİNDE</v>
      </c>
    </row>
    <row r="114" spans="2:9" ht="28.5" customHeight="1" x14ac:dyDescent="0.35">
      <c r="B114" s="21">
        <v>46219</v>
      </c>
      <c r="C114">
        <v>40</v>
      </c>
      <c r="D114">
        <v>40</v>
      </c>
      <c r="E114">
        <v>0</v>
      </c>
      <c r="F114">
        <f t="shared" si="12"/>
        <v>0</v>
      </c>
      <c r="G114">
        <f t="shared" si="13"/>
        <v>6.2281683852423109E-2</v>
      </c>
      <c r="H114">
        <f t="shared" si="14"/>
        <v>0</v>
      </c>
      <c r="I114" t="str">
        <f t="shared" si="15"/>
        <v>KONTROL İÇİNDE</v>
      </c>
    </row>
    <row r="115" spans="2:9" ht="28.5" customHeight="1" x14ac:dyDescent="0.35">
      <c r="B115" s="21">
        <v>46220</v>
      </c>
      <c r="C115">
        <v>9</v>
      </c>
      <c r="D115">
        <v>9</v>
      </c>
      <c r="E115">
        <v>0</v>
      </c>
      <c r="F115">
        <f t="shared" si="12"/>
        <v>0</v>
      </c>
      <c r="G115">
        <f t="shared" si="13"/>
        <v>0.11848463802960284</v>
      </c>
      <c r="H115">
        <f t="shared" si="14"/>
        <v>0</v>
      </c>
      <c r="I115" t="str">
        <f t="shared" si="15"/>
        <v>KONTROL İÇİNDE</v>
      </c>
    </row>
    <row r="116" spans="2:9" ht="28.5" customHeight="1" x14ac:dyDescent="0.35">
      <c r="B116" s="21">
        <v>46221</v>
      </c>
      <c r="C116">
        <v>3</v>
      </c>
      <c r="D116">
        <v>3</v>
      </c>
      <c r="E116">
        <v>0</v>
      </c>
      <c r="F116">
        <f t="shared" si="12"/>
        <v>0</v>
      </c>
      <c r="G116">
        <f t="shared" si="13"/>
        <v>0.19675490219808348</v>
      </c>
      <c r="H116">
        <f t="shared" si="14"/>
        <v>0</v>
      </c>
      <c r="I116" t="str">
        <f t="shared" si="15"/>
        <v>KONTROL İÇİNDE</v>
      </c>
    </row>
    <row r="117" spans="2:9" ht="28.5" customHeight="1" x14ac:dyDescent="0.35">
      <c r="B117" s="21">
        <v>46223</v>
      </c>
      <c r="C117">
        <v>42</v>
      </c>
      <c r="D117">
        <v>42</v>
      </c>
      <c r="E117">
        <v>0</v>
      </c>
      <c r="F117">
        <f t="shared" si="12"/>
        <v>0</v>
      </c>
      <c r="G117">
        <f t="shared" si="13"/>
        <v>6.1059426769683608E-2</v>
      </c>
      <c r="H117">
        <f t="shared" si="14"/>
        <v>0</v>
      </c>
      <c r="I117" t="str">
        <f t="shared" si="15"/>
        <v>KONTROL İÇİNDE</v>
      </c>
    </row>
    <row r="118" spans="2:9" ht="28.5" customHeight="1" x14ac:dyDescent="0.35">
      <c r="B118" s="21">
        <v>46224</v>
      </c>
      <c r="C118">
        <v>172</v>
      </c>
      <c r="D118">
        <v>172</v>
      </c>
      <c r="E118">
        <v>0</v>
      </c>
      <c r="F118">
        <f t="shared" si="12"/>
        <v>0</v>
      </c>
      <c r="G118">
        <f t="shared" si="13"/>
        <v>3.602299948420995E-2</v>
      </c>
      <c r="H118">
        <f t="shared" si="14"/>
        <v>0</v>
      </c>
      <c r="I118" t="str">
        <f t="shared" si="15"/>
        <v>KONTROL İÇİNDE</v>
      </c>
    </row>
    <row r="119" spans="2:9" ht="28.5" customHeight="1" x14ac:dyDescent="0.35">
      <c r="B119" s="21">
        <v>46225</v>
      </c>
      <c r="C119">
        <v>4</v>
      </c>
      <c r="D119">
        <v>4</v>
      </c>
      <c r="E119">
        <v>0</v>
      </c>
      <c r="F119">
        <f t="shared" si="12"/>
        <v>0</v>
      </c>
      <c r="G119">
        <f t="shared" si="13"/>
        <v>0.17194422263713457</v>
      </c>
      <c r="H119">
        <f t="shared" si="14"/>
        <v>0</v>
      </c>
      <c r="I119" t="str">
        <f t="shared" si="15"/>
        <v>KONTROL İÇİNDE</v>
      </c>
    </row>
    <row r="120" spans="2:9" ht="28.5" customHeight="1" x14ac:dyDescent="0.35">
      <c r="B120" s="21">
        <v>46226</v>
      </c>
      <c r="C120">
        <v>24</v>
      </c>
      <c r="D120">
        <v>24</v>
      </c>
      <c r="E120">
        <v>0</v>
      </c>
      <c r="F120">
        <f t="shared" si="12"/>
        <v>0</v>
      </c>
      <c r="G120">
        <f t="shared" si="13"/>
        <v>7.7039820889338625E-2</v>
      </c>
      <c r="H120">
        <f t="shared" si="14"/>
        <v>0</v>
      </c>
      <c r="I120" t="str">
        <f t="shared" si="15"/>
        <v>KONTROL İÇİNDE</v>
      </c>
    </row>
    <row r="121" spans="2:9" ht="28.5" customHeight="1" x14ac:dyDescent="0.35">
      <c r="B121" s="21">
        <v>46227</v>
      </c>
      <c r="C121">
        <v>22</v>
      </c>
      <c r="D121">
        <v>22</v>
      </c>
      <c r="E121">
        <v>0</v>
      </c>
      <c r="F121">
        <f t="shared" si="12"/>
        <v>0</v>
      </c>
      <c r="G121">
        <f t="shared" si="13"/>
        <v>7.9951199220934188E-2</v>
      </c>
      <c r="H121">
        <f t="shared" si="14"/>
        <v>0</v>
      </c>
      <c r="I121" t="str">
        <f t="shared" si="15"/>
        <v>KONTROL İÇİNDE</v>
      </c>
    </row>
    <row r="122" spans="2:9" ht="28.5" customHeight="1" x14ac:dyDescent="0.35">
      <c r="B122" s="21">
        <v>46228</v>
      </c>
      <c r="C122">
        <v>2</v>
      </c>
      <c r="D122">
        <v>2</v>
      </c>
      <c r="E122">
        <v>0</v>
      </c>
      <c r="F122">
        <f t="shared" si="12"/>
        <v>0</v>
      </c>
      <c r="G122">
        <f t="shared" si="13"/>
        <v>0.23837527758694932</v>
      </c>
      <c r="H122">
        <f t="shared" si="14"/>
        <v>0</v>
      </c>
      <c r="I122" t="str">
        <f t="shared" si="15"/>
        <v>KONTROL İÇİNDE</v>
      </c>
    </row>
    <row r="123" spans="2:9" ht="28.5" customHeight="1" x14ac:dyDescent="0.35">
      <c r="B123" s="21">
        <v>46229</v>
      </c>
      <c r="C123">
        <v>1</v>
      </c>
      <c r="D123">
        <v>1</v>
      </c>
      <c r="E123">
        <v>0</v>
      </c>
      <c r="F123">
        <f t="shared" si="12"/>
        <v>0</v>
      </c>
      <c r="G123">
        <f t="shared" si="13"/>
        <v>0.33232297645972969</v>
      </c>
      <c r="H123">
        <f t="shared" si="14"/>
        <v>0</v>
      </c>
      <c r="I123" t="str">
        <f t="shared" si="15"/>
        <v>KONTROL İÇİNDE</v>
      </c>
    </row>
    <row r="124" spans="2:9" ht="28.5" customHeight="1" x14ac:dyDescent="0.35">
      <c r="B124" s="21">
        <v>46230</v>
      </c>
      <c r="C124">
        <v>30</v>
      </c>
      <c r="D124">
        <v>30</v>
      </c>
      <c r="E124">
        <v>0</v>
      </c>
      <c r="F124">
        <f t="shared" si="12"/>
        <v>0</v>
      </c>
      <c r="G124">
        <f t="shared" si="13"/>
        <v>7.0127509623341605E-2</v>
      </c>
      <c r="H124">
        <f t="shared" si="14"/>
        <v>0</v>
      </c>
      <c r="I124" t="str">
        <f t="shared" si="15"/>
        <v>KONTROL İÇİNDE</v>
      </c>
    </row>
    <row r="125" spans="2:9" ht="28.5" customHeight="1" x14ac:dyDescent="0.35">
      <c r="B125" s="21">
        <v>46231</v>
      </c>
      <c r="C125">
        <v>7</v>
      </c>
      <c r="D125">
        <v>7</v>
      </c>
      <c r="E125">
        <v>0</v>
      </c>
      <c r="F125">
        <f t="shared" si="12"/>
        <v>0</v>
      </c>
      <c r="G125">
        <f t="shared" si="13"/>
        <v>0.13280041115540694</v>
      </c>
      <c r="H125">
        <f t="shared" si="14"/>
        <v>0</v>
      </c>
      <c r="I125" t="str">
        <f t="shared" si="15"/>
        <v>KONTROL İÇİNDE</v>
      </c>
    </row>
    <row r="126" spans="2:9" ht="28.5" customHeight="1" x14ac:dyDescent="0.35">
      <c r="B126" s="21">
        <v>46232</v>
      </c>
      <c r="C126">
        <v>20</v>
      </c>
      <c r="D126">
        <v>20</v>
      </c>
      <c r="E126">
        <v>0</v>
      </c>
      <c r="F126">
        <f t="shared" si="12"/>
        <v>0</v>
      </c>
      <c r="G126">
        <f t="shared" si="13"/>
        <v>8.3289027953344821E-2</v>
      </c>
      <c r="H126">
        <f t="shared" si="14"/>
        <v>0</v>
      </c>
      <c r="I126" t="str">
        <f t="shared" si="15"/>
        <v>KONTROL İÇİNDE</v>
      </c>
    </row>
    <row r="127" spans="2:9" ht="28.5" customHeight="1" x14ac:dyDescent="0.35">
      <c r="B127" s="21">
        <v>46233</v>
      </c>
      <c r="C127">
        <v>20</v>
      </c>
      <c r="D127">
        <v>20</v>
      </c>
      <c r="E127">
        <v>0</v>
      </c>
      <c r="F127">
        <f t="shared" si="12"/>
        <v>0</v>
      </c>
      <c r="G127">
        <f t="shared" si="13"/>
        <v>8.3289027953344821E-2</v>
      </c>
      <c r="H127">
        <f t="shared" si="14"/>
        <v>0</v>
      </c>
      <c r="I127" t="str">
        <f t="shared" si="15"/>
        <v>KONTROL İÇİNDE</v>
      </c>
    </row>
    <row r="128" spans="2:9" ht="28.5" customHeight="1" x14ac:dyDescent="0.35">
      <c r="B128" s="21">
        <v>46234</v>
      </c>
      <c r="C128">
        <v>36</v>
      </c>
      <c r="D128">
        <v>36</v>
      </c>
      <c r="E128">
        <v>0</v>
      </c>
      <c r="F128">
        <f t="shared" si="12"/>
        <v>0</v>
      </c>
      <c r="G128">
        <f t="shared" si="13"/>
        <v>6.5025053422071141E-2</v>
      </c>
      <c r="H128">
        <f t="shared" si="14"/>
        <v>0</v>
      </c>
      <c r="I128" t="str">
        <f t="shared" si="15"/>
        <v>KONTROL İÇİNDE</v>
      </c>
    </row>
    <row r="129" spans="2:9" ht="28.5" customHeight="1" x14ac:dyDescent="0.35">
      <c r="B129" s="21">
        <v>46237</v>
      </c>
      <c r="C129">
        <v>4</v>
      </c>
      <c r="D129">
        <v>4</v>
      </c>
      <c r="E129">
        <v>0</v>
      </c>
      <c r="F129">
        <f t="shared" si="12"/>
        <v>0</v>
      </c>
      <c r="G129">
        <f t="shared" si="13"/>
        <v>0.17194422263713457</v>
      </c>
      <c r="H129">
        <f t="shared" si="14"/>
        <v>0</v>
      </c>
      <c r="I129" t="str">
        <f t="shared" si="15"/>
        <v>KONTROL İÇİNDE</v>
      </c>
    </row>
    <row r="130" spans="2:9" ht="28.5" customHeight="1" x14ac:dyDescent="0.35">
      <c r="B130" s="21">
        <v>46238</v>
      </c>
      <c r="C130">
        <v>8</v>
      </c>
      <c r="D130">
        <v>8</v>
      </c>
      <c r="E130">
        <v>0</v>
      </c>
      <c r="F130">
        <f t="shared" ref="F130:F152" si="16">E130/D130</f>
        <v>0</v>
      </c>
      <c r="G130">
        <f t="shared" ref="G130:G151" si="17">$F$152+3*SQRT($F$152*(1-$F$152)/D130)</f>
        <v>0.12497037320074438</v>
      </c>
      <c r="H130">
        <f t="shared" ref="H130:H151" si="18">MAX(0,$F$152-3*SQRT($F$152*(1-$F$152)/D130))</f>
        <v>0</v>
      </c>
      <c r="I130" t="str">
        <f t="shared" ref="I130:I151" si="19">IF(AND(F130&lt;=G130,F130&gt;=H130),"KONTROL İÇİNDE"," KONTROL DIŞINDA")</f>
        <v>KONTROL İÇİNDE</v>
      </c>
    </row>
    <row r="131" spans="2:9" ht="28.5" customHeight="1" x14ac:dyDescent="0.35">
      <c r="B131" s="21">
        <v>46239</v>
      </c>
      <c r="C131">
        <v>168</v>
      </c>
      <c r="D131">
        <v>168</v>
      </c>
      <c r="E131">
        <v>0</v>
      </c>
      <c r="F131">
        <f t="shared" si="16"/>
        <v>0</v>
      </c>
      <c r="G131">
        <f t="shared" si="17"/>
        <v>3.6312447792111527E-2</v>
      </c>
      <c r="H131">
        <f t="shared" si="18"/>
        <v>0</v>
      </c>
      <c r="I131" t="str">
        <f t="shared" si="19"/>
        <v>KONTROL İÇİNDE</v>
      </c>
    </row>
    <row r="132" spans="2:9" ht="28.5" customHeight="1" x14ac:dyDescent="0.35">
      <c r="B132" s="21">
        <v>46240</v>
      </c>
      <c r="C132">
        <v>73</v>
      </c>
      <c r="D132">
        <v>73</v>
      </c>
      <c r="E132">
        <v>0</v>
      </c>
      <c r="F132">
        <f t="shared" si="16"/>
        <v>0</v>
      </c>
      <c r="G132">
        <f t="shared" si="17"/>
        <v>4.9107295481104124E-2</v>
      </c>
      <c r="H132">
        <f t="shared" si="18"/>
        <v>0</v>
      </c>
      <c r="I132" t="str">
        <f t="shared" si="19"/>
        <v>KONTROL İÇİNDE</v>
      </c>
    </row>
    <row r="133" spans="2:9" ht="28.5" customHeight="1" x14ac:dyDescent="0.35">
      <c r="B133" s="21">
        <v>46241</v>
      </c>
      <c r="C133">
        <v>34</v>
      </c>
      <c r="D133">
        <v>34</v>
      </c>
      <c r="E133">
        <v>0</v>
      </c>
      <c r="F133">
        <f t="shared" si="16"/>
        <v>0</v>
      </c>
      <c r="G133">
        <f t="shared" si="17"/>
        <v>6.6574927549527027E-2</v>
      </c>
      <c r="H133">
        <f t="shared" si="18"/>
        <v>0</v>
      </c>
      <c r="I133" t="str">
        <f t="shared" si="19"/>
        <v>KONTROL İÇİNDE</v>
      </c>
    </row>
    <row r="134" spans="2:9" ht="28.5" customHeight="1" x14ac:dyDescent="0.35">
      <c r="B134" s="21">
        <v>46242</v>
      </c>
      <c r="C134">
        <v>1</v>
      </c>
      <c r="D134">
        <v>1</v>
      </c>
      <c r="E134">
        <v>0</v>
      </c>
      <c r="F134">
        <f t="shared" si="16"/>
        <v>0</v>
      </c>
      <c r="G134">
        <f t="shared" si="17"/>
        <v>0.33232297645972969</v>
      </c>
      <c r="H134">
        <f t="shared" si="18"/>
        <v>0</v>
      </c>
      <c r="I134" t="str">
        <f t="shared" si="19"/>
        <v>KONTROL İÇİNDE</v>
      </c>
    </row>
    <row r="135" spans="2:9" ht="28.5" customHeight="1" x14ac:dyDescent="0.35">
      <c r="B135" s="21">
        <v>46244</v>
      </c>
      <c r="C135">
        <v>22</v>
      </c>
      <c r="D135">
        <v>22</v>
      </c>
      <c r="E135">
        <v>0</v>
      </c>
      <c r="F135">
        <f t="shared" si="16"/>
        <v>0</v>
      </c>
      <c r="G135">
        <f t="shared" si="17"/>
        <v>7.9951199220934188E-2</v>
      </c>
      <c r="H135">
        <f t="shared" si="18"/>
        <v>0</v>
      </c>
      <c r="I135" t="str">
        <f t="shared" si="19"/>
        <v>KONTROL İÇİNDE</v>
      </c>
    </row>
    <row r="136" spans="2:9" ht="28.5" customHeight="1" x14ac:dyDescent="0.35">
      <c r="B136" s="21">
        <v>46245</v>
      </c>
      <c r="C136">
        <v>35</v>
      </c>
      <c r="D136">
        <v>35</v>
      </c>
      <c r="E136">
        <v>0</v>
      </c>
      <c r="F136">
        <f t="shared" si="16"/>
        <v>0</v>
      </c>
      <c r="G136">
        <f t="shared" si="17"/>
        <v>6.5783383279028884E-2</v>
      </c>
      <c r="H136">
        <f t="shared" si="18"/>
        <v>0</v>
      </c>
      <c r="I136" t="str">
        <f t="shared" si="19"/>
        <v>KONTROL İÇİNDE</v>
      </c>
    </row>
    <row r="137" spans="2:9" ht="28.5" customHeight="1" x14ac:dyDescent="0.35">
      <c r="B137" s="21">
        <v>46246</v>
      </c>
      <c r="C137">
        <v>175</v>
      </c>
      <c r="D137">
        <v>175</v>
      </c>
      <c r="E137">
        <v>0</v>
      </c>
      <c r="F137">
        <f t="shared" si="16"/>
        <v>0</v>
      </c>
      <c r="G137">
        <f t="shared" si="17"/>
        <v>3.5812457282712942E-2</v>
      </c>
      <c r="H137">
        <f t="shared" si="18"/>
        <v>0</v>
      </c>
      <c r="I137" t="str">
        <f t="shared" si="19"/>
        <v>KONTROL İÇİNDE</v>
      </c>
    </row>
    <row r="138" spans="2:9" ht="28.5" customHeight="1" x14ac:dyDescent="0.35">
      <c r="B138" s="21">
        <v>46247</v>
      </c>
      <c r="C138">
        <v>9</v>
      </c>
      <c r="D138">
        <v>9</v>
      </c>
      <c r="E138">
        <v>0</v>
      </c>
      <c r="F138">
        <f t="shared" si="16"/>
        <v>0</v>
      </c>
      <c r="G138">
        <f t="shared" si="17"/>
        <v>0.11848463802960284</v>
      </c>
      <c r="H138">
        <f t="shared" si="18"/>
        <v>0</v>
      </c>
      <c r="I138" t="str">
        <f t="shared" si="19"/>
        <v>KONTROL İÇİNDE</v>
      </c>
    </row>
    <row r="139" spans="2:9" ht="28.5" customHeight="1" x14ac:dyDescent="0.35">
      <c r="B139" s="21">
        <v>46248</v>
      </c>
      <c r="C139">
        <v>30</v>
      </c>
      <c r="D139">
        <v>30</v>
      </c>
      <c r="E139">
        <v>0</v>
      </c>
      <c r="F139">
        <f t="shared" si="16"/>
        <v>0</v>
      </c>
      <c r="G139">
        <f t="shared" si="17"/>
        <v>7.0127509623341605E-2</v>
      </c>
      <c r="H139">
        <f t="shared" si="18"/>
        <v>0</v>
      </c>
      <c r="I139" t="str">
        <f t="shared" si="19"/>
        <v>KONTROL İÇİNDE</v>
      </c>
    </row>
    <row r="140" spans="2:9" ht="28.5" customHeight="1" x14ac:dyDescent="0.35">
      <c r="B140" s="21">
        <v>46250</v>
      </c>
      <c r="C140">
        <v>2</v>
      </c>
      <c r="D140">
        <v>2</v>
      </c>
      <c r="E140">
        <v>0</v>
      </c>
      <c r="F140">
        <f t="shared" si="16"/>
        <v>0</v>
      </c>
      <c r="G140">
        <f t="shared" si="17"/>
        <v>0.23837527758694932</v>
      </c>
      <c r="H140">
        <f t="shared" si="18"/>
        <v>0</v>
      </c>
      <c r="I140" t="str">
        <f t="shared" si="19"/>
        <v>KONTROL İÇİNDE</v>
      </c>
    </row>
    <row r="141" spans="2:9" ht="28.5" customHeight="1" x14ac:dyDescent="0.35">
      <c r="B141" s="21">
        <v>46251</v>
      </c>
      <c r="C141">
        <v>66</v>
      </c>
      <c r="D141">
        <v>66</v>
      </c>
      <c r="E141">
        <v>0</v>
      </c>
      <c r="F141">
        <f t="shared" si="16"/>
        <v>0</v>
      </c>
      <c r="G141">
        <f t="shared" si="17"/>
        <v>5.1047988673400629E-2</v>
      </c>
      <c r="H141">
        <f t="shared" si="18"/>
        <v>0</v>
      </c>
      <c r="I141" t="str">
        <f t="shared" si="19"/>
        <v>KONTROL İÇİNDE</v>
      </c>
    </row>
    <row r="142" spans="2:9" ht="28.5" customHeight="1" x14ac:dyDescent="0.35">
      <c r="B142" s="21">
        <v>46252</v>
      </c>
      <c r="C142">
        <v>47</v>
      </c>
      <c r="D142">
        <v>47</v>
      </c>
      <c r="E142">
        <v>0</v>
      </c>
      <c r="F142">
        <f t="shared" si="16"/>
        <v>0</v>
      </c>
      <c r="G142">
        <f t="shared" si="17"/>
        <v>5.8352759940090961E-2</v>
      </c>
      <c r="H142">
        <f t="shared" si="18"/>
        <v>0</v>
      </c>
      <c r="I142" t="str">
        <f t="shared" si="19"/>
        <v>KONTROL İÇİNDE</v>
      </c>
    </row>
    <row r="143" spans="2:9" ht="28.5" customHeight="1" x14ac:dyDescent="0.35">
      <c r="B143" s="21">
        <v>46253</v>
      </c>
      <c r="C143">
        <v>21</v>
      </c>
      <c r="D143">
        <v>21</v>
      </c>
      <c r="E143">
        <v>0</v>
      </c>
      <c r="F143">
        <f t="shared" si="16"/>
        <v>0</v>
      </c>
      <c r="G143">
        <f t="shared" si="17"/>
        <v>8.1560495410228043E-2</v>
      </c>
      <c r="H143">
        <f t="shared" si="18"/>
        <v>0</v>
      </c>
      <c r="I143" t="str">
        <f t="shared" si="19"/>
        <v>KONTROL İÇİNDE</v>
      </c>
    </row>
    <row r="144" spans="2:9" ht="28.5" customHeight="1" x14ac:dyDescent="0.35">
      <c r="B144" s="21">
        <v>46254</v>
      </c>
      <c r="C144">
        <v>25</v>
      </c>
      <c r="D144">
        <v>25</v>
      </c>
      <c r="E144">
        <v>0</v>
      </c>
      <c r="F144">
        <f t="shared" si="16"/>
        <v>0</v>
      </c>
      <c r="G144">
        <f t="shared" si="17"/>
        <v>7.5716970343577494E-2</v>
      </c>
      <c r="H144">
        <f t="shared" si="18"/>
        <v>0</v>
      </c>
      <c r="I144" t="str">
        <f t="shared" si="19"/>
        <v>KONTROL İÇİNDE</v>
      </c>
    </row>
    <row r="145" spans="2:9" ht="28.5" customHeight="1" x14ac:dyDescent="0.35">
      <c r="B145" s="21">
        <v>46255</v>
      </c>
      <c r="C145">
        <v>209</v>
      </c>
      <c r="D145">
        <v>209</v>
      </c>
      <c r="E145">
        <v>0</v>
      </c>
      <c r="F145">
        <f t="shared" si="16"/>
        <v>0</v>
      </c>
      <c r="G145">
        <f t="shared" si="17"/>
        <v>3.3752729557720552E-2</v>
      </c>
      <c r="H145">
        <f t="shared" si="18"/>
        <v>0</v>
      </c>
      <c r="I145" t="str">
        <f t="shared" si="19"/>
        <v>KONTROL İÇİNDE</v>
      </c>
    </row>
    <row r="146" spans="2:9" ht="28.5" customHeight="1" x14ac:dyDescent="0.35">
      <c r="B146" s="21">
        <v>46256</v>
      </c>
      <c r="C146">
        <v>23</v>
      </c>
      <c r="D146">
        <v>23</v>
      </c>
      <c r="E146">
        <v>0</v>
      </c>
      <c r="F146">
        <f t="shared" si="16"/>
        <v>0</v>
      </c>
      <c r="G146">
        <f t="shared" si="17"/>
        <v>7.8448032575583956E-2</v>
      </c>
      <c r="H146">
        <f t="shared" si="18"/>
        <v>0</v>
      </c>
      <c r="I146" t="str">
        <f t="shared" si="19"/>
        <v>KONTROL İÇİNDE</v>
      </c>
    </row>
    <row r="147" spans="2:9" ht="28.5" customHeight="1" x14ac:dyDescent="0.35">
      <c r="B147" s="21">
        <v>46258</v>
      </c>
      <c r="C147">
        <v>42</v>
      </c>
      <c r="D147">
        <v>42</v>
      </c>
      <c r="E147">
        <v>0</v>
      </c>
      <c r="F147">
        <f t="shared" si="16"/>
        <v>0</v>
      </c>
      <c r="G147">
        <f t="shared" si="17"/>
        <v>6.1059426769683608E-2</v>
      </c>
      <c r="H147">
        <f t="shared" si="18"/>
        <v>0</v>
      </c>
      <c r="I147" t="str">
        <f t="shared" si="19"/>
        <v>KONTROL İÇİNDE</v>
      </c>
    </row>
    <row r="148" spans="2:9" ht="28.5" customHeight="1" x14ac:dyDescent="0.35">
      <c r="B148" s="21">
        <v>46259</v>
      </c>
      <c r="C148">
        <v>17</v>
      </c>
      <c r="D148">
        <v>17</v>
      </c>
      <c r="E148">
        <v>0</v>
      </c>
      <c r="F148">
        <f t="shared" si="16"/>
        <v>0</v>
      </c>
      <c r="G148">
        <f t="shared" si="17"/>
        <v>8.9360591416362004E-2</v>
      </c>
      <c r="H148">
        <f t="shared" si="18"/>
        <v>0</v>
      </c>
      <c r="I148" t="str">
        <f t="shared" si="19"/>
        <v>KONTROL İÇİNDE</v>
      </c>
    </row>
    <row r="149" spans="2:9" ht="28.5" customHeight="1" x14ac:dyDescent="0.35">
      <c r="B149" s="21">
        <v>46260</v>
      </c>
      <c r="C149">
        <v>46</v>
      </c>
      <c r="D149">
        <v>46</v>
      </c>
      <c r="E149">
        <v>0</v>
      </c>
      <c r="F149">
        <f t="shared" si="16"/>
        <v>0</v>
      </c>
      <c r="G149">
        <f t="shared" si="17"/>
        <v>5.8858583193115668E-2</v>
      </c>
      <c r="H149">
        <f t="shared" si="18"/>
        <v>0</v>
      </c>
      <c r="I149" t="str">
        <f t="shared" si="19"/>
        <v>KONTROL İÇİNDE</v>
      </c>
    </row>
    <row r="150" spans="2:9" ht="28.5" customHeight="1" x14ac:dyDescent="0.35">
      <c r="B150" s="21">
        <v>46261</v>
      </c>
      <c r="C150">
        <v>160</v>
      </c>
      <c r="D150">
        <v>160</v>
      </c>
      <c r="E150">
        <v>0</v>
      </c>
      <c r="F150">
        <f t="shared" si="16"/>
        <v>0</v>
      </c>
      <c r="G150">
        <f t="shared" si="17"/>
        <v>3.6923576333481277E-2</v>
      </c>
      <c r="H150">
        <f t="shared" si="18"/>
        <v>0</v>
      </c>
      <c r="I150" t="str">
        <f t="shared" si="19"/>
        <v>KONTROL İÇİNDE</v>
      </c>
    </row>
    <row r="151" spans="2:9" ht="28.5" customHeight="1" x14ac:dyDescent="0.35">
      <c r="B151" s="21">
        <v>46262</v>
      </c>
      <c r="C151">
        <v>57</v>
      </c>
      <c r="D151">
        <v>57</v>
      </c>
      <c r="E151">
        <v>0</v>
      </c>
      <c r="F151">
        <f t="shared" si="16"/>
        <v>0</v>
      </c>
      <c r="G151">
        <f t="shared" si="17"/>
        <v>5.4050838579298703E-2</v>
      </c>
      <c r="H151">
        <f t="shared" si="18"/>
        <v>0</v>
      </c>
      <c r="I151" t="str">
        <f t="shared" si="19"/>
        <v>KONTROL İÇİNDE</v>
      </c>
    </row>
    <row r="152" spans="2:9" ht="28.5" customHeight="1" x14ac:dyDescent="0.35">
      <c r="D152">
        <f>SUM(D2:D151)</f>
        <v>4842</v>
      </c>
      <c r="E152">
        <f>SUM(E2:E151)</f>
        <v>56</v>
      </c>
      <c r="F152">
        <f t="shared" si="16"/>
        <v>1.1565468814539447E-2</v>
      </c>
    </row>
  </sheetData>
  <conditionalFormatting sqref="I1:I151 D152:D153 E154:E508 I509:I1048576">
    <cfRule type="cellIs" dxfId="12" priority="6" operator="equal">
      <formula>#REF!</formula>
    </cfRule>
  </conditionalFormatting>
  <conditionalFormatting sqref="I1:I1048576">
    <cfRule type="cellIs" dxfId="11" priority="1" operator="equal">
      <formula>$I$5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1"/>
  <sheetViews>
    <sheetView topLeftCell="I1" zoomScale="63" workbookViewId="0">
      <selection activeCell="U10" sqref="U10"/>
    </sheetView>
  </sheetViews>
  <sheetFormatPr defaultColWidth="18.453125" defaultRowHeight="14.5" x14ac:dyDescent="0.35"/>
  <cols>
    <col min="1" max="1" width="14.54296875" bestFit="1" customWidth="1"/>
    <col min="2" max="2" width="16.7265625" bestFit="1" customWidth="1"/>
    <col min="3" max="3" width="6.54296875" bestFit="1" customWidth="1"/>
    <col min="4" max="5" width="12.08984375" bestFit="1" customWidth="1"/>
    <col min="6" max="6" width="3.453125" bestFit="1" customWidth="1"/>
    <col min="7" max="7" width="17" bestFit="1" customWidth="1"/>
  </cols>
  <sheetData>
    <row r="1" spans="1:8" ht="30" customHeight="1" x14ac:dyDescent="0.35">
      <c r="A1" s="4" t="s">
        <v>21</v>
      </c>
      <c r="B1" s="3" t="s">
        <v>1</v>
      </c>
      <c r="C1" s="3" t="s">
        <v>2</v>
      </c>
      <c r="D1" s="12" t="s">
        <v>22</v>
      </c>
      <c r="E1" s="12" t="s">
        <v>4</v>
      </c>
      <c r="F1" s="12" t="s">
        <v>5</v>
      </c>
      <c r="G1" s="12" t="s">
        <v>6</v>
      </c>
    </row>
    <row r="2" spans="1:8" ht="20" customHeight="1" x14ac:dyDescent="0.35">
      <c r="A2" s="21">
        <v>46029</v>
      </c>
      <c r="B2">
        <v>5</v>
      </c>
      <c r="C2">
        <v>1</v>
      </c>
      <c r="D2">
        <f t="shared" ref="D2:D33" si="0">C2/B2</f>
        <v>0.2</v>
      </c>
      <c r="E2">
        <f t="shared" ref="E2:E33" si="1">$D$151+3*SQRT($D$151*(1-$D$151)/B2)</f>
        <v>0.12873989184215173</v>
      </c>
      <c r="F2">
        <f t="shared" ref="F2:F33" si="2">MAX(0,$D$151-3*SQRT($D$151*(1-$D$151)/B2))</f>
        <v>0</v>
      </c>
      <c r="G2" t="str">
        <f t="shared" ref="G2:G33" si="3">IF(AND(D2&lt;=E2,D2&gt;=F2),"KONTROL İÇİNDE"," KONTROL DIŞINDA")</f>
        <v xml:space="preserve"> KONTROL DIŞINDA</v>
      </c>
      <c r="H2" s="6" t="s">
        <v>45</v>
      </c>
    </row>
    <row r="3" spans="1:8" x14ac:dyDescent="0.35">
      <c r="A3" s="21">
        <v>46030</v>
      </c>
      <c r="B3">
        <v>34</v>
      </c>
      <c r="C3">
        <v>0</v>
      </c>
      <c r="D3">
        <f t="shared" si="0"/>
        <v>0</v>
      </c>
      <c r="E3">
        <f t="shared" si="1"/>
        <v>5.4391502403566674E-2</v>
      </c>
      <c r="F3">
        <f t="shared" si="2"/>
        <v>0</v>
      </c>
      <c r="G3" t="str">
        <f t="shared" si="3"/>
        <v>KONTROL İÇİNDE</v>
      </c>
    </row>
    <row r="4" spans="1:8" x14ac:dyDescent="0.35">
      <c r="A4" s="21">
        <v>46031</v>
      </c>
      <c r="B4">
        <v>1</v>
      </c>
      <c r="C4">
        <v>0</v>
      </c>
      <c r="D4">
        <f t="shared" si="0"/>
        <v>0</v>
      </c>
      <c r="E4">
        <f t="shared" si="1"/>
        <v>0.27780242864361954</v>
      </c>
      <c r="F4">
        <f t="shared" si="2"/>
        <v>0</v>
      </c>
      <c r="G4" t="str">
        <f t="shared" si="3"/>
        <v>KONTROL İÇİNDE</v>
      </c>
    </row>
    <row r="5" spans="1:8" x14ac:dyDescent="0.35">
      <c r="A5" s="21">
        <v>46034</v>
      </c>
      <c r="B5">
        <v>1</v>
      </c>
      <c r="C5">
        <v>1</v>
      </c>
      <c r="D5">
        <f t="shared" si="0"/>
        <v>1</v>
      </c>
      <c r="E5">
        <f t="shared" si="1"/>
        <v>0.27780242864361954</v>
      </c>
      <c r="F5">
        <f t="shared" si="2"/>
        <v>0</v>
      </c>
      <c r="G5" t="str">
        <f t="shared" si="3"/>
        <v xml:space="preserve"> KONTROL DIŞINDA</v>
      </c>
      <c r="H5" s="6" t="s">
        <v>46</v>
      </c>
    </row>
    <row r="6" spans="1:8" x14ac:dyDescent="0.35">
      <c r="A6" s="21">
        <v>46035</v>
      </c>
      <c r="B6">
        <v>81</v>
      </c>
      <c r="C6">
        <v>0</v>
      </c>
      <c r="D6">
        <f t="shared" si="0"/>
        <v>0</v>
      </c>
      <c r="E6">
        <f t="shared" si="1"/>
        <v>3.810761771162284E-2</v>
      </c>
      <c r="F6">
        <f t="shared" si="2"/>
        <v>0</v>
      </c>
      <c r="G6" t="str">
        <f t="shared" si="3"/>
        <v>KONTROL İÇİNDE</v>
      </c>
    </row>
    <row r="7" spans="1:8" x14ac:dyDescent="0.35">
      <c r="A7" s="21">
        <v>46037</v>
      </c>
      <c r="B7">
        <v>6</v>
      </c>
      <c r="C7">
        <v>0</v>
      </c>
      <c r="D7">
        <f t="shared" si="0"/>
        <v>0</v>
      </c>
      <c r="E7">
        <f t="shared" si="1"/>
        <v>0.11823263774067558</v>
      </c>
      <c r="F7">
        <f t="shared" si="2"/>
        <v>0</v>
      </c>
      <c r="G7" t="str">
        <f t="shared" si="3"/>
        <v>KONTROL İÇİNDE</v>
      </c>
    </row>
    <row r="8" spans="1:8" x14ac:dyDescent="0.35">
      <c r="A8" s="21">
        <v>46038</v>
      </c>
      <c r="B8">
        <v>5</v>
      </c>
      <c r="C8">
        <v>1</v>
      </c>
      <c r="D8">
        <f t="shared" si="0"/>
        <v>0.2</v>
      </c>
      <c r="E8">
        <f t="shared" si="1"/>
        <v>0.12873989184215173</v>
      </c>
      <c r="F8">
        <f t="shared" si="2"/>
        <v>0</v>
      </c>
      <c r="G8" t="str">
        <f t="shared" si="3"/>
        <v xml:space="preserve"> KONTROL DIŞINDA</v>
      </c>
      <c r="H8" s="6" t="s">
        <v>47</v>
      </c>
    </row>
    <row r="9" spans="1:8" x14ac:dyDescent="0.35">
      <c r="A9" s="21">
        <v>46041</v>
      </c>
      <c r="B9">
        <v>12</v>
      </c>
      <c r="C9">
        <v>0</v>
      </c>
      <c r="D9">
        <f t="shared" si="0"/>
        <v>0</v>
      </c>
      <c r="E9">
        <f t="shared" si="1"/>
        <v>8.5988939628529673E-2</v>
      </c>
      <c r="F9">
        <f t="shared" si="2"/>
        <v>0</v>
      </c>
      <c r="G9" t="str">
        <f t="shared" si="3"/>
        <v>KONTROL İÇİNDE</v>
      </c>
    </row>
    <row r="10" spans="1:8" x14ac:dyDescent="0.35">
      <c r="A10" s="21">
        <v>46043</v>
      </c>
      <c r="B10">
        <v>316</v>
      </c>
      <c r="C10">
        <v>0</v>
      </c>
      <c r="D10">
        <f t="shared" si="0"/>
        <v>0</v>
      </c>
      <c r="E10">
        <f t="shared" si="1"/>
        <v>2.3315138752929898E-2</v>
      </c>
      <c r="F10">
        <f t="shared" si="2"/>
        <v>0</v>
      </c>
      <c r="G10" t="str">
        <f t="shared" si="3"/>
        <v>KONTROL İÇİNDE</v>
      </c>
    </row>
    <row r="11" spans="1:8" x14ac:dyDescent="0.35">
      <c r="A11" s="21">
        <v>46045</v>
      </c>
      <c r="B11">
        <v>9</v>
      </c>
      <c r="C11">
        <v>1</v>
      </c>
      <c r="D11">
        <f t="shared" si="0"/>
        <v>0.1111111111111111</v>
      </c>
      <c r="E11">
        <f t="shared" si="1"/>
        <v>9.8031320444622011E-2</v>
      </c>
      <c r="F11">
        <f t="shared" si="2"/>
        <v>0</v>
      </c>
      <c r="G11" t="str">
        <f t="shared" si="3"/>
        <v xml:space="preserve"> KONTROL DIŞINDA</v>
      </c>
    </row>
    <row r="12" spans="1:8" x14ac:dyDescent="0.35">
      <c r="A12" s="21">
        <v>46048</v>
      </c>
      <c r="B12">
        <v>2</v>
      </c>
      <c r="C12">
        <v>0</v>
      </c>
      <c r="D12">
        <f t="shared" si="0"/>
        <v>0</v>
      </c>
      <c r="E12">
        <f t="shared" si="1"/>
        <v>0.19882182084852079</v>
      </c>
      <c r="F12">
        <f t="shared" si="2"/>
        <v>0</v>
      </c>
      <c r="G12" t="str">
        <f t="shared" si="3"/>
        <v>KONTROL İÇİNDE</v>
      </c>
    </row>
    <row r="13" spans="1:8" x14ac:dyDescent="0.35">
      <c r="A13" s="21">
        <v>46050</v>
      </c>
      <c r="B13">
        <v>205</v>
      </c>
      <c r="C13">
        <v>0</v>
      </c>
      <c r="D13">
        <f t="shared" si="0"/>
        <v>0</v>
      </c>
      <c r="E13">
        <f t="shared" si="1"/>
        <v>2.6979404585660859E-2</v>
      </c>
      <c r="F13">
        <f t="shared" si="2"/>
        <v>0</v>
      </c>
      <c r="G13" t="str">
        <f t="shared" si="3"/>
        <v>KONTROL İÇİNDE</v>
      </c>
    </row>
    <row r="14" spans="1:8" x14ac:dyDescent="0.35">
      <c r="A14" s="21">
        <v>46052</v>
      </c>
      <c r="B14">
        <v>6</v>
      </c>
      <c r="C14">
        <v>0</v>
      </c>
      <c r="D14">
        <f t="shared" si="0"/>
        <v>0</v>
      </c>
      <c r="E14">
        <f t="shared" si="1"/>
        <v>0.11823263774067558</v>
      </c>
      <c r="F14">
        <f t="shared" si="2"/>
        <v>0</v>
      </c>
      <c r="G14" t="str">
        <f t="shared" si="3"/>
        <v>KONTROL İÇİNDE</v>
      </c>
    </row>
    <row r="15" spans="1:8" x14ac:dyDescent="0.35">
      <c r="A15" s="21">
        <v>46055</v>
      </c>
      <c r="B15">
        <v>6</v>
      </c>
      <c r="C15">
        <v>1</v>
      </c>
      <c r="D15">
        <f t="shared" si="0"/>
        <v>0.16666666666666666</v>
      </c>
      <c r="E15">
        <f t="shared" si="1"/>
        <v>0.11823263774067558</v>
      </c>
      <c r="F15">
        <f t="shared" si="2"/>
        <v>0</v>
      </c>
      <c r="G15" t="str">
        <f t="shared" si="3"/>
        <v xml:space="preserve"> KONTROL DIŞINDA</v>
      </c>
      <c r="H15" s="5" t="s">
        <v>48</v>
      </c>
    </row>
    <row r="16" spans="1:8" x14ac:dyDescent="0.35">
      <c r="A16" s="21">
        <v>46056</v>
      </c>
      <c r="B16">
        <v>1</v>
      </c>
      <c r="C16">
        <v>0</v>
      </c>
      <c r="D16">
        <f t="shared" si="0"/>
        <v>0</v>
      </c>
      <c r="E16">
        <f t="shared" si="1"/>
        <v>0.27780242864361954</v>
      </c>
      <c r="F16">
        <f t="shared" si="2"/>
        <v>0</v>
      </c>
      <c r="G16" t="str">
        <f t="shared" si="3"/>
        <v>KONTROL İÇİNDE</v>
      </c>
    </row>
    <row r="17" spans="1:8" x14ac:dyDescent="0.35">
      <c r="A17" s="21">
        <v>46057</v>
      </c>
      <c r="B17">
        <v>7</v>
      </c>
      <c r="C17">
        <v>0</v>
      </c>
      <c r="D17">
        <f t="shared" si="0"/>
        <v>0</v>
      </c>
      <c r="E17">
        <f t="shared" si="1"/>
        <v>0.11006640460420154</v>
      </c>
      <c r="F17">
        <f t="shared" si="2"/>
        <v>0</v>
      </c>
      <c r="G17" t="str">
        <f t="shared" si="3"/>
        <v>KONTROL İÇİNDE</v>
      </c>
    </row>
    <row r="18" spans="1:8" x14ac:dyDescent="0.35">
      <c r="A18" s="21">
        <v>46058</v>
      </c>
      <c r="B18">
        <v>6</v>
      </c>
      <c r="C18">
        <v>0</v>
      </c>
      <c r="D18">
        <f t="shared" si="0"/>
        <v>0</v>
      </c>
      <c r="E18">
        <f t="shared" si="1"/>
        <v>0.11823263774067558</v>
      </c>
      <c r="F18">
        <f t="shared" si="2"/>
        <v>0</v>
      </c>
      <c r="G18" t="str">
        <f t="shared" si="3"/>
        <v>KONTROL İÇİNDE</v>
      </c>
    </row>
    <row r="19" spans="1:8" x14ac:dyDescent="0.35">
      <c r="A19" s="21">
        <v>46059</v>
      </c>
      <c r="B19">
        <v>7</v>
      </c>
      <c r="C19">
        <v>0</v>
      </c>
      <c r="D19">
        <f t="shared" si="0"/>
        <v>0</v>
      </c>
      <c r="E19">
        <f t="shared" si="1"/>
        <v>0.11006640460420154</v>
      </c>
      <c r="F19">
        <f t="shared" si="2"/>
        <v>0</v>
      </c>
      <c r="G19" t="str">
        <f t="shared" si="3"/>
        <v>KONTROL İÇİNDE</v>
      </c>
    </row>
    <row r="20" spans="1:8" x14ac:dyDescent="0.35">
      <c r="A20" s="21">
        <v>46062</v>
      </c>
      <c r="B20">
        <v>85</v>
      </c>
      <c r="C20">
        <v>9</v>
      </c>
      <c r="D20">
        <f t="shared" si="0"/>
        <v>0.10588235294117647</v>
      </c>
      <c r="E20">
        <f t="shared" si="1"/>
        <v>3.7394137948255038E-2</v>
      </c>
      <c r="F20">
        <f t="shared" si="2"/>
        <v>0</v>
      </c>
      <c r="G20" t="str">
        <f t="shared" si="3"/>
        <v xml:space="preserve"> KONTROL DIŞINDA</v>
      </c>
      <c r="H20" s="5" t="s">
        <v>49</v>
      </c>
    </row>
    <row r="21" spans="1:8" x14ac:dyDescent="0.35">
      <c r="A21" s="21">
        <v>46063</v>
      </c>
      <c r="B21">
        <v>24</v>
      </c>
      <c r="C21">
        <v>1</v>
      </c>
      <c r="D21">
        <f t="shared" si="0"/>
        <v>4.1666666666666664E-2</v>
      </c>
      <c r="E21">
        <f t="shared" si="1"/>
        <v>6.318920204289942E-2</v>
      </c>
      <c r="F21">
        <f t="shared" si="2"/>
        <v>0</v>
      </c>
      <c r="G21" t="str">
        <f t="shared" si="3"/>
        <v>KONTROL İÇİNDE</v>
      </c>
    </row>
    <row r="22" spans="1:8" x14ac:dyDescent="0.35">
      <c r="A22" s="21">
        <v>46064</v>
      </c>
      <c r="B22">
        <v>2</v>
      </c>
      <c r="C22">
        <v>0</v>
      </c>
      <c r="D22">
        <f t="shared" si="0"/>
        <v>0</v>
      </c>
      <c r="E22">
        <f t="shared" si="1"/>
        <v>0.19882182084852079</v>
      </c>
      <c r="F22">
        <f t="shared" si="2"/>
        <v>0</v>
      </c>
      <c r="G22" t="str">
        <f t="shared" si="3"/>
        <v>KONTROL İÇİNDE</v>
      </c>
    </row>
    <row r="23" spans="1:8" x14ac:dyDescent="0.35">
      <c r="A23" s="21">
        <v>46065</v>
      </c>
      <c r="B23">
        <v>86</v>
      </c>
      <c r="C23">
        <v>0</v>
      </c>
      <c r="D23">
        <f t="shared" si="0"/>
        <v>0</v>
      </c>
      <c r="E23">
        <f t="shared" si="1"/>
        <v>3.7223592053553189E-2</v>
      </c>
      <c r="F23">
        <f t="shared" si="2"/>
        <v>0</v>
      </c>
      <c r="G23" t="str">
        <f t="shared" si="3"/>
        <v>KONTROL İÇİNDE</v>
      </c>
    </row>
    <row r="24" spans="1:8" x14ac:dyDescent="0.35">
      <c r="A24" s="21">
        <v>46066</v>
      </c>
      <c r="B24">
        <v>16</v>
      </c>
      <c r="C24">
        <v>0</v>
      </c>
      <c r="D24">
        <f t="shared" si="0"/>
        <v>0</v>
      </c>
      <c r="E24">
        <f t="shared" si="1"/>
        <v>7.5559931919747331E-2</v>
      </c>
      <c r="F24">
        <f t="shared" si="2"/>
        <v>0</v>
      </c>
      <c r="G24" t="str">
        <f t="shared" si="3"/>
        <v>KONTROL İÇİNDE</v>
      </c>
    </row>
    <row r="25" spans="1:8" x14ac:dyDescent="0.35">
      <c r="A25" s="21">
        <v>46067</v>
      </c>
      <c r="B25">
        <v>1</v>
      </c>
      <c r="C25">
        <v>1</v>
      </c>
      <c r="D25">
        <f t="shared" si="0"/>
        <v>1</v>
      </c>
      <c r="E25">
        <f t="shared" si="1"/>
        <v>0.27780242864361954</v>
      </c>
      <c r="F25">
        <f t="shared" si="2"/>
        <v>0</v>
      </c>
      <c r="G25" t="str">
        <f t="shared" si="3"/>
        <v xml:space="preserve"> KONTROL DIŞINDA</v>
      </c>
      <c r="H25" t="s">
        <v>47</v>
      </c>
    </row>
    <row r="26" spans="1:8" x14ac:dyDescent="0.35">
      <c r="A26" s="21">
        <v>46069</v>
      </c>
      <c r="B26">
        <v>7</v>
      </c>
      <c r="C26">
        <v>0</v>
      </c>
      <c r="D26">
        <f t="shared" si="0"/>
        <v>0</v>
      </c>
      <c r="E26">
        <f t="shared" si="1"/>
        <v>0.11006640460420154</v>
      </c>
      <c r="F26">
        <f t="shared" si="2"/>
        <v>0</v>
      </c>
      <c r="G26" t="str">
        <f t="shared" si="3"/>
        <v>KONTROL İÇİNDE</v>
      </c>
    </row>
    <row r="27" spans="1:8" x14ac:dyDescent="0.35">
      <c r="A27" s="21">
        <v>46070</v>
      </c>
      <c r="B27">
        <v>11</v>
      </c>
      <c r="C27">
        <v>0</v>
      </c>
      <c r="D27">
        <f t="shared" si="0"/>
        <v>0</v>
      </c>
      <c r="E27">
        <f t="shared" si="1"/>
        <v>8.9450309169094799E-2</v>
      </c>
      <c r="F27">
        <f t="shared" si="2"/>
        <v>0</v>
      </c>
      <c r="G27" t="str">
        <f t="shared" si="3"/>
        <v>KONTROL İÇİNDE</v>
      </c>
    </row>
    <row r="28" spans="1:8" x14ac:dyDescent="0.35">
      <c r="A28" s="21">
        <v>46071</v>
      </c>
      <c r="B28">
        <v>6</v>
      </c>
      <c r="C28">
        <v>0</v>
      </c>
      <c r="D28">
        <f t="shared" si="0"/>
        <v>0</v>
      </c>
      <c r="E28">
        <f t="shared" si="1"/>
        <v>0.11823263774067558</v>
      </c>
      <c r="F28">
        <f t="shared" si="2"/>
        <v>0</v>
      </c>
      <c r="G28" t="str">
        <f t="shared" si="3"/>
        <v>KONTROL İÇİNDE</v>
      </c>
    </row>
    <row r="29" spans="1:8" x14ac:dyDescent="0.35">
      <c r="A29" s="21">
        <v>46072</v>
      </c>
      <c r="B29">
        <v>8</v>
      </c>
      <c r="C29">
        <v>0</v>
      </c>
      <c r="D29">
        <f t="shared" si="0"/>
        <v>0</v>
      </c>
      <c r="E29">
        <f t="shared" si="1"/>
        <v>0.10348379359682203</v>
      </c>
      <c r="F29">
        <f t="shared" si="2"/>
        <v>0</v>
      </c>
      <c r="G29" t="str">
        <f t="shared" si="3"/>
        <v>KONTROL İÇİNDE</v>
      </c>
    </row>
    <row r="30" spans="1:8" x14ac:dyDescent="0.35">
      <c r="A30" s="21">
        <v>46076</v>
      </c>
      <c r="B30">
        <v>12</v>
      </c>
      <c r="C30">
        <v>0</v>
      </c>
      <c r="D30">
        <f t="shared" si="0"/>
        <v>0</v>
      </c>
      <c r="E30">
        <f t="shared" si="1"/>
        <v>8.5988939628529673E-2</v>
      </c>
      <c r="F30">
        <f t="shared" si="2"/>
        <v>0</v>
      </c>
      <c r="G30" t="str">
        <f t="shared" si="3"/>
        <v>KONTROL İÇİNDE</v>
      </c>
    </row>
    <row r="31" spans="1:8" x14ac:dyDescent="0.35">
      <c r="A31" s="21">
        <v>46077</v>
      </c>
      <c r="B31">
        <v>5</v>
      </c>
      <c r="C31">
        <v>0</v>
      </c>
      <c r="D31">
        <f t="shared" si="0"/>
        <v>0</v>
      </c>
      <c r="E31">
        <f t="shared" si="1"/>
        <v>0.12873989184215173</v>
      </c>
      <c r="F31">
        <f t="shared" si="2"/>
        <v>0</v>
      </c>
      <c r="G31" t="str">
        <f t="shared" si="3"/>
        <v>KONTROL İÇİNDE</v>
      </c>
    </row>
    <row r="32" spans="1:8" x14ac:dyDescent="0.35">
      <c r="A32" s="21">
        <v>46078</v>
      </c>
      <c r="B32">
        <v>3</v>
      </c>
      <c r="C32">
        <v>0</v>
      </c>
      <c r="D32">
        <f t="shared" si="0"/>
        <v>0</v>
      </c>
      <c r="E32">
        <f t="shared" si="1"/>
        <v>0.16383211291193608</v>
      </c>
      <c r="F32">
        <f t="shared" si="2"/>
        <v>0</v>
      </c>
      <c r="G32" t="str">
        <f t="shared" si="3"/>
        <v>KONTROL İÇİNDE</v>
      </c>
    </row>
    <row r="33" spans="1:8" x14ac:dyDescent="0.35">
      <c r="A33" s="21">
        <v>46079</v>
      </c>
      <c r="B33">
        <v>2</v>
      </c>
      <c r="C33">
        <v>0</v>
      </c>
      <c r="D33">
        <f t="shared" si="0"/>
        <v>0</v>
      </c>
      <c r="E33">
        <f t="shared" si="1"/>
        <v>0.19882182084852079</v>
      </c>
      <c r="F33">
        <f t="shared" si="2"/>
        <v>0</v>
      </c>
      <c r="G33" t="str">
        <f t="shared" si="3"/>
        <v>KONTROL İÇİNDE</v>
      </c>
    </row>
    <row r="34" spans="1:8" x14ac:dyDescent="0.35">
      <c r="A34" s="21">
        <v>46080</v>
      </c>
      <c r="B34">
        <v>1</v>
      </c>
      <c r="C34">
        <v>1</v>
      </c>
      <c r="D34">
        <f t="shared" ref="D34:D65" si="4">C34/B34</f>
        <v>1</v>
      </c>
      <c r="E34">
        <f t="shared" ref="E34:E65" si="5">$D$151+3*SQRT($D$151*(1-$D$151)/B34)</f>
        <v>0.27780242864361954</v>
      </c>
      <c r="F34">
        <f t="shared" ref="F34:F65" si="6">MAX(0,$D$151-3*SQRT($D$151*(1-$D$151)/B34))</f>
        <v>0</v>
      </c>
      <c r="G34" t="str">
        <f t="shared" ref="G34:G65" si="7">IF(AND(D34&lt;=E34,D34&gt;=F34),"KONTROL İÇİNDE"," KONTROL DIŞINDA")</f>
        <v xml:space="preserve"> KONTROL DIŞINDA</v>
      </c>
      <c r="H34" t="s">
        <v>47</v>
      </c>
    </row>
    <row r="35" spans="1:8" x14ac:dyDescent="0.35">
      <c r="A35" s="21">
        <v>46081</v>
      </c>
      <c r="B35">
        <v>28</v>
      </c>
      <c r="C35">
        <v>0</v>
      </c>
      <c r="D35">
        <f t="shared" si="4"/>
        <v>0</v>
      </c>
      <c r="E35">
        <f t="shared" si="5"/>
        <v>5.9106085474662395E-2</v>
      </c>
      <c r="F35">
        <f t="shared" si="6"/>
        <v>0</v>
      </c>
      <c r="G35" t="str">
        <f t="shared" si="7"/>
        <v>KONTROL İÇİNDE</v>
      </c>
    </row>
    <row r="36" spans="1:8" x14ac:dyDescent="0.35">
      <c r="A36" s="21">
        <v>46083</v>
      </c>
      <c r="B36">
        <v>2</v>
      </c>
      <c r="C36">
        <v>0</v>
      </c>
      <c r="D36">
        <f t="shared" si="4"/>
        <v>0</v>
      </c>
      <c r="E36">
        <f t="shared" si="5"/>
        <v>0.19882182084852079</v>
      </c>
      <c r="F36">
        <f t="shared" si="6"/>
        <v>0</v>
      </c>
      <c r="G36" t="str">
        <f t="shared" si="7"/>
        <v>KONTROL İÇİNDE</v>
      </c>
    </row>
    <row r="37" spans="1:8" ht="30" customHeight="1" x14ac:dyDescent="0.35">
      <c r="A37" s="21">
        <v>46084</v>
      </c>
      <c r="B37">
        <v>206</v>
      </c>
      <c r="C37">
        <v>7</v>
      </c>
      <c r="D37">
        <f t="shared" si="4"/>
        <v>3.3980582524271843E-2</v>
      </c>
      <c r="E37">
        <f t="shared" si="5"/>
        <v>2.6933636259828069E-2</v>
      </c>
      <c r="F37">
        <f t="shared" si="6"/>
        <v>0</v>
      </c>
      <c r="G37" t="str">
        <f t="shared" si="7"/>
        <v xml:space="preserve"> KONTROL DIŞINDA</v>
      </c>
      <c r="H37" s="6" t="s">
        <v>50</v>
      </c>
    </row>
    <row r="38" spans="1:8" x14ac:dyDescent="0.35">
      <c r="A38" s="21">
        <v>46086</v>
      </c>
      <c r="B38">
        <v>5</v>
      </c>
      <c r="C38">
        <v>0</v>
      </c>
      <c r="D38">
        <f t="shared" si="4"/>
        <v>0</v>
      </c>
      <c r="E38">
        <f t="shared" si="5"/>
        <v>0.12873989184215173</v>
      </c>
      <c r="F38">
        <f t="shared" si="6"/>
        <v>0</v>
      </c>
      <c r="G38" t="str">
        <f t="shared" si="7"/>
        <v>KONTROL İÇİNDE</v>
      </c>
    </row>
    <row r="39" spans="1:8" x14ac:dyDescent="0.35">
      <c r="A39" s="21">
        <v>46087</v>
      </c>
      <c r="B39">
        <v>2</v>
      </c>
      <c r="C39">
        <v>0</v>
      </c>
      <c r="D39">
        <f t="shared" si="4"/>
        <v>0</v>
      </c>
      <c r="E39">
        <f t="shared" si="5"/>
        <v>0.19882182084852079</v>
      </c>
      <c r="F39">
        <f t="shared" si="6"/>
        <v>0</v>
      </c>
      <c r="G39" t="str">
        <f t="shared" si="7"/>
        <v>KONTROL İÇİNDE</v>
      </c>
    </row>
    <row r="40" spans="1:8" x14ac:dyDescent="0.35">
      <c r="A40" s="21">
        <v>46090</v>
      </c>
      <c r="B40">
        <v>2</v>
      </c>
      <c r="C40">
        <v>0</v>
      </c>
      <c r="D40">
        <f t="shared" si="4"/>
        <v>0</v>
      </c>
      <c r="E40">
        <f t="shared" si="5"/>
        <v>0.19882182084852079</v>
      </c>
      <c r="F40">
        <f t="shared" si="6"/>
        <v>0</v>
      </c>
      <c r="G40" t="str">
        <f t="shared" si="7"/>
        <v>KONTROL İÇİNDE</v>
      </c>
    </row>
    <row r="41" spans="1:8" x14ac:dyDescent="0.35">
      <c r="A41" s="21">
        <v>46091</v>
      </c>
      <c r="B41">
        <v>2</v>
      </c>
      <c r="C41">
        <v>0</v>
      </c>
      <c r="D41">
        <f t="shared" si="4"/>
        <v>0</v>
      </c>
      <c r="E41">
        <f t="shared" si="5"/>
        <v>0.19882182084852079</v>
      </c>
      <c r="F41">
        <f t="shared" si="6"/>
        <v>0</v>
      </c>
      <c r="G41" t="str">
        <f t="shared" si="7"/>
        <v>KONTROL İÇİNDE</v>
      </c>
    </row>
    <row r="42" spans="1:8" x14ac:dyDescent="0.35">
      <c r="A42" s="21">
        <v>46092</v>
      </c>
      <c r="B42">
        <v>9</v>
      </c>
      <c r="C42">
        <v>0</v>
      </c>
      <c r="D42">
        <f t="shared" si="4"/>
        <v>0</v>
      </c>
      <c r="E42">
        <f t="shared" si="5"/>
        <v>9.8031320444622011E-2</v>
      </c>
      <c r="F42">
        <f t="shared" si="6"/>
        <v>0</v>
      </c>
      <c r="G42" t="str">
        <f t="shared" si="7"/>
        <v>KONTROL İÇİNDE</v>
      </c>
    </row>
    <row r="43" spans="1:8" x14ac:dyDescent="0.35">
      <c r="A43" s="21">
        <v>46093</v>
      </c>
      <c r="B43">
        <v>23</v>
      </c>
      <c r="C43">
        <v>0</v>
      </c>
      <c r="D43">
        <f t="shared" si="4"/>
        <v>0</v>
      </c>
      <c r="E43">
        <f t="shared" si="5"/>
        <v>6.4373067280880686E-2</v>
      </c>
      <c r="F43">
        <f t="shared" si="6"/>
        <v>0</v>
      </c>
      <c r="G43" t="str">
        <f t="shared" si="7"/>
        <v>KONTROL İÇİNDE</v>
      </c>
    </row>
    <row r="44" spans="1:8" x14ac:dyDescent="0.35">
      <c r="A44" s="21">
        <v>46094</v>
      </c>
      <c r="B44">
        <v>1</v>
      </c>
      <c r="C44">
        <v>0</v>
      </c>
      <c r="D44">
        <f t="shared" si="4"/>
        <v>0</v>
      </c>
      <c r="E44">
        <f t="shared" si="5"/>
        <v>0.27780242864361954</v>
      </c>
      <c r="F44">
        <f t="shared" si="6"/>
        <v>0</v>
      </c>
      <c r="G44" t="str">
        <f t="shared" si="7"/>
        <v>KONTROL İÇİNDE</v>
      </c>
    </row>
    <row r="45" spans="1:8" x14ac:dyDescent="0.35">
      <c r="A45" s="21">
        <v>46096</v>
      </c>
      <c r="B45">
        <v>1</v>
      </c>
      <c r="C45">
        <v>0</v>
      </c>
      <c r="D45">
        <f t="shared" si="4"/>
        <v>0</v>
      </c>
      <c r="E45">
        <f t="shared" si="5"/>
        <v>0.27780242864361954</v>
      </c>
      <c r="F45">
        <f t="shared" si="6"/>
        <v>0</v>
      </c>
      <c r="G45" t="str">
        <f t="shared" si="7"/>
        <v>KONTROL İÇİNDE</v>
      </c>
    </row>
    <row r="46" spans="1:8" x14ac:dyDescent="0.35">
      <c r="A46" s="21">
        <v>46097</v>
      </c>
      <c r="B46">
        <v>33</v>
      </c>
      <c r="C46">
        <v>0</v>
      </c>
      <c r="D46">
        <f t="shared" si="4"/>
        <v>0</v>
      </c>
      <c r="E46">
        <f t="shared" si="5"/>
        <v>5.5086966030882686E-2</v>
      </c>
      <c r="F46">
        <f t="shared" si="6"/>
        <v>0</v>
      </c>
      <c r="G46" t="str">
        <f t="shared" si="7"/>
        <v>KONTROL İÇİNDE</v>
      </c>
    </row>
    <row r="47" spans="1:8" x14ac:dyDescent="0.35">
      <c r="A47" s="21">
        <v>46098</v>
      </c>
      <c r="B47">
        <v>17</v>
      </c>
      <c r="C47">
        <v>0</v>
      </c>
      <c r="D47">
        <f t="shared" si="4"/>
        <v>0</v>
      </c>
      <c r="E47">
        <f t="shared" si="5"/>
        <v>7.3547113480900414E-2</v>
      </c>
      <c r="F47">
        <f t="shared" si="6"/>
        <v>0</v>
      </c>
      <c r="G47" t="str">
        <f t="shared" si="7"/>
        <v>KONTROL İÇİNDE</v>
      </c>
    </row>
    <row r="48" spans="1:8" x14ac:dyDescent="0.35">
      <c r="A48" s="21">
        <v>46099</v>
      </c>
      <c r="B48">
        <v>30</v>
      </c>
      <c r="C48">
        <v>0</v>
      </c>
      <c r="D48">
        <f t="shared" si="4"/>
        <v>0</v>
      </c>
      <c r="E48">
        <f t="shared" si="5"/>
        <v>5.7378111919269684E-2</v>
      </c>
      <c r="F48">
        <f t="shared" si="6"/>
        <v>0</v>
      </c>
      <c r="G48" t="str">
        <f t="shared" si="7"/>
        <v>KONTROL İÇİNDE</v>
      </c>
    </row>
    <row r="49" spans="1:7" x14ac:dyDescent="0.35">
      <c r="A49" s="21">
        <v>46101</v>
      </c>
      <c r="B49">
        <v>1</v>
      </c>
      <c r="C49">
        <v>0</v>
      </c>
      <c r="D49">
        <f t="shared" si="4"/>
        <v>0</v>
      </c>
      <c r="E49">
        <f t="shared" si="5"/>
        <v>0.27780242864361954</v>
      </c>
      <c r="F49">
        <f t="shared" si="6"/>
        <v>0</v>
      </c>
      <c r="G49" t="str">
        <f t="shared" si="7"/>
        <v>KONTROL İÇİNDE</v>
      </c>
    </row>
    <row r="50" spans="1:7" x14ac:dyDescent="0.35">
      <c r="A50" s="21">
        <v>46105</v>
      </c>
      <c r="B50">
        <v>100</v>
      </c>
      <c r="C50">
        <v>0</v>
      </c>
      <c r="D50">
        <f t="shared" si="4"/>
        <v>0</v>
      </c>
      <c r="E50">
        <f t="shared" si="5"/>
        <v>3.5111432574972887E-2</v>
      </c>
      <c r="F50">
        <f t="shared" si="6"/>
        <v>0</v>
      </c>
      <c r="G50" t="str">
        <f t="shared" si="7"/>
        <v>KONTROL İÇİNDE</v>
      </c>
    </row>
    <row r="51" spans="1:7" x14ac:dyDescent="0.35">
      <c r="A51" s="21">
        <v>46106</v>
      </c>
      <c r="B51">
        <v>55</v>
      </c>
      <c r="C51">
        <v>0</v>
      </c>
      <c r="D51">
        <f t="shared" si="4"/>
        <v>0</v>
      </c>
      <c r="E51">
        <f t="shared" si="5"/>
        <v>4.4506263271911872E-2</v>
      </c>
      <c r="F51">
        <f t="shared" si="6"/>
        <v>0</v>
      </c>
      <c r="G51" t="str">
        <f t="shared" si="7"/>
        <v>KONTROL İÇİNDE</v>
      </c>
    </row>
    <row r="52" spans="1:7" x14ac:dyDescent="0.35">
      <c r="A52" s="21">
        <v>46107</v>
      </c>
      <c r="B52">
        <v>1</v>
      </c>
      <c r="C52">
        <v>0</v>
      </c>
      <c r="D52">
        <f t="shared" si="4"/>
        <v>0</v>
      </c>
      <c r="E52">
        <f t="shared" si="5"/>
        <v>0.27780242864361954</v>
      </c>
      <c r="F52">
        <f t="shared" si="6"/>
        <v>0</v>
      </c>
      <c r="G52" t="str">
        <f t="shared" si="7"/>
        <v>KONTROL İÇİNDE</v>
      </c>
    </row>
    <row r="53" spans="1:7" x14ac:dyDescent="0.35">
      <c r="A53" s="21">
        <v>46108</v>
      </c>
      <c r="B53">
        <v>23</v>
      </c>
      <c r="C53">
        <v>0</v>
      </c>
      <c r="D53">
        <f t="shared" si="4"/>
        <v>0</v>
      </c>
      <c r="E53">
        <f t="shared" si="5"/>
        <v>6.4373067280880686E-2</v>
      </c>
      <c r="F53">
        <f t="shared" si="6"/>
        <v>0</v>
      </c>
      <c r="G53" t="str">
        <f t="shared" si="7"/>
        <v>KONTROL İÇİNDE</v>
      </c>
    </row>
    <row r="54" spans="1:7" x14ac:dyDescent="0.35">
      <c r="A54" s="21">
        <v>46111</v>
      </c>
      <c r="B54">
        <v>2</v>
      </c>
      <c r="C54">
        <v>0</v>
      </c>
      <c r="D54">
        <f t="shared" si="4"/>
        <v>0</v>
      </c>
      <c r="E54">
        <f t="shared" si="5"/>
        <v>0.19882182084852079</v>
      </c>
      <c r="F54">
        <f t="shared" si="6"/>
        <v>0</v>
      </c>
      <c r="G54" t="str">
        <f t="shared" si="7"/>
        <v>KONTROL İÇİNDE</v>
      </c>
    </row>
    <row r="55" spans="1:7" x14ac:dyDescent="0.35">
      <c r="A55" s="21">
        <v>46112</v>
      </c>
      <c r="B55">
        <v>1</v>
      </c>
      <c r="C55">
        <v>0</v>
      </c>
      <c r="D55">
        <f t="shared" si="4"/>
        <v>0</v>
      </c>
      <c r="E55">
        <f t="shared" si="5"/>
        <v>0.27780242864361954</v>
      </c>
      <c r="F55">
        <f t="shared" si="6"/>
        <v>0</v>
      </c>
      <c r="G55" t="str">
        <f t="shared" si="7"/>
        <v>KONTROL İÇİNDE</v>
      </c>
    </row>
    <row r="56" spans="1:7" x14ac:dyDescent="0.35">
      <c r="A56" s="21">
        <v>46113</v>
      </c>
      <c r="B56">
        <v>2</v>
      </c>
      <c r="C56">
        <v>0</v>
      </c>
      <c r="D56">
        <f t="shared" si="4"/>
        <v>0</v>
      </c>
      <c r="E56">
        <f t="shared" si="5"/>
        <v>0.19882182084852079</v>
      </c>
      <c r="F56">
        <f t="shared" si="6"/>
        <v>0</v>
      </c>
      <c r="G56" t="str">
        <f t="shared" si="7"/>
        <v>KONTROL İÇİNDE</v>
      </c>
    </row>
    <row r="57" spans="1:7" x14ac:dyDescent="0.35">
      <c r="A57" s="21">
        <v>46115</v>
      </c>
      <c r="B57">
        <v>8</v>
      </c>
      <c r="C57">
        <v>0</v>
      </c>
      <c r="D57">
        <f t="shared" si="4"/>
        <v>0</v>
      </c>
      <c r="E57">
        <f t="shared" si="5"/>
        <v>0.10348379359682203</v>
      </c>
      <c r="F57">
        <f t="shared" si="6"/>
        <v>0</v>
      </c>
      <c r="G57" t="str">
        <f t="shared" si="7"/>
        <v>KONTROL İÇİNDE</v>
      </c>
    </row>
    <row r="58" spans="1:7" x14ac:dyDescent="0.35">
      <c r="A58" s="21">
        <v>46118</v>
      </c>
      <c r="B58">
        <v>2</v>
      </c>
      <c r="C58">
        <v>0</v>
      </c>
      <c r="D58">
        <f t="shared" si="4"/>
        <v>0</v>
      </c>
      <c r="E58">
        <f t="shared" si="5"/>
        <v>0.19882182084852079</v>
      </c>
      <c r="F58">
        <f t="shared" si="6"/>
        <v>0</v>
      </c>
      <c r="G58" t="str">
        <f t="shared" si="7"/>
        <v>KONTROL İÇİNDE</v>
      </c>
    </row>
    <row r="59" spans="1:7" x14ac:dyDescent="0.35">
      <c r="A59" s="21">
        <v>46119</v>
      </c>
      <c r="B59">
        <v>14</v>
      </c>
      <c r="C59">
        <v>0</v>
      </c>
      <c r="D59">
        <f t="shared" si="4"/>
        <v>0</v>
      </c>
      <c r="E59">
        <f t="shared" si="5"/>
        <v>8.021454080097859E-2</v>
      </c>
      <c r="F59">
        <f t="shared" si="6"/>
        <v>0</v>
      </c>
      <c r="G59" t="str">
        <f t="shared" si="7"/>
        <v>KONTROL İÇİNDE</v>
      </c>
    </row>
    <row r="60" spans="1:7" x14ac:dyDescent="0.35">
      <c r="A60" s="21">
        <v>46120</v>
      </c>
      <c r="B60">
        <v>8</v>
      </c>
      <c r="C60">
        <v>0</v>
      </c>
      <c r="D60">
        <f t="shared" si="4"/>
        <v>0</v>
      </c>
      <c r="E60">
        <f t="shared" si="5"/>
        <v>0.10348379359682203</v>
      </c>
      <c r="F60">
        <f t="shared" si="6"/>
        <v>0</v>
      </c>
      <c r="G60" t="str">
        <f t="shared" si="7"/>
        <v>KONTROL İÇİNDE</v>
      </c>
    </row>
    <row r="61" spans="1:7" x14ac:dyDescent="0.35">
      <c r="A61" s="21">
        <v>46121</v>
      </c>
      <c r="B61">
        <v>25</v>
      </c>
      <c r="C61">
        <v>0</v>
      </c>
      <c r="D61">
        <f t="shared" si="4"/>
        <v>0</v>
      </c>
      <c r="E61">
        <f t="shared" si="5"/>
        <v>6.2077098804822511E-2</v>
      </c>
      <c r="F61">
        <f t="shared" si="6"/>
        <v>0</v>
      </c>
      <c r="G61" t="str">
        <f t="shared" si="7"/>
        <v>KONTROL İÇİNDE</v>
      </c>
    </row>
    <row r="62" spans="1:7" x14ac:dyDescent="0.35">
      <c r="A62" s="21">
        <v>46122</v>
      </c>
      <c r="B62">
        <v>1</v>
      </c>
      <c r="C62">
        <v>0</v>
      </c>
      <c r="D62">
        <f t="shared" si="4"/>
        <v>0</v>
      </c>
      <c r="E62">
        <f t="shared" si="5"/>
        <v>0.27780242864361954</v>
      </c>
      <c r="F62">
        <f t="shared" si="6"/>
        <v>0</v>
      </c>
      <c r="G62" t="str">
        <f t="shared" si="7"/>
        <v>KONTROL İÇİNDE</v>
      </c>
    </row>
    <row r="63" spans="1:7" x14ac:dyDescent="0.35">
      <c r="A63" s="21">
        <v>46125</v>
      </c>
      <c r="B63">
        <v>43</v>
      </c>
      <c r="C63">
        <v>0</v>
      </c>
      <c r="D63">
        <f t="shared" si="4"/>
        <v>0</v>
      </c>
      <c r="E63">
        <f t="shared" si="5"/>
        <v>4.9268021826305908E-2</v>
      </c>
      <c r="F63">
        <f t="shared" si="6"/>
        <v>0</v>
      </c>
      <c r="G63" t="str">
        <f t="shared" si="7"/>
        <v>KONTROL İÇİNDE</v>
      </c>
    </row>
    <row r="64" spans="1:7" x14ac:dyDescent="0.35">
      <c r="A64" s="21">
        <v>46126</v>
      </c>
      <c r="B64">
        <v>14</v>
      </c>
      <c r="C64">
        <v>0</v>
      </c>
      <c r="D64">
        <f t="shared" si="4"/>
        <v>0</v>
      </c>
      <c r="E64">
        <f t="shared" si="5"/>
        <v>8.021454080097859E-2</v>
      </c>
      <c r="F64">
        <f t="shared" si="6"/>
        <v>0</v>
      </c>
      <c r="G64" t="str">
        <f t="shared" si="7"/>
        <v>KONTROL İÇİNDE</v>
      </c>
    </row>
    <row r="65" spans="1:7" x14ac:dyDescent="0.35">
      <c r="A65" s="21">
        <v>46127</v>
      </c>
      <c r="B65">
        <v>5</v>
      </c>
      <c r="C65">
        <v>0</v>
      </c>
      <c r="D65">
        <f t="shared" si="4"/>
        <v>0</v>
      </c>
      <c r="E65">
        <f t="shared" si="5"/>
        <v>0.12873989184215173</v>
      </c>
      <c r="F65">
        <f t="shared" si="6"/>
        <v>0</v>
      </c>
      <c r="G65" t="str">
        <f t="shared" si="7"/>
        <v>KONTROL İÇİNDE</v>
      </c>
    </row>
    <row r="66" spans="1:7" x14ac:dyDescent="0.35">
      <c r="A66" s="21">
        <v>46128</v>
      </c>
      <c r="B66">
        <v>53</v>
      </c>
      <c r="C66">
        <v>0</v>
      </c>
      <c r="D66">
        <f t="shared" ref="D66:D97" si="8">C66/B66</f>
        <v>0</v>
      </c>
      <c r="E66">
        <f t="shared" ref="E66:E97" si="9">$D$151+3*SQRT($D$151*(1-$D$151)/B66)</f>
        <v>4.5185957550965897E-2</v>
      </c>
      <c r="F66">
        <f t="shared" ref="F66:F97" si="10">MAX(0,$D$151-3*SQRT($D$151*(1-$D$151)/B66))</f>
        <v>0</v>
      </c>
      <c r="G66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46132</v>
      </c>
      <c r="B67">
        <v>8</v>
      </c>
      <c r="C67">
        <v>0</v>
      </c>
      <c r="D67">
        <f t="shared" si="8"/>
        <v>0</v>
      </c>
      <c r="E67">
        <f t="shared" si="9"/>
        <v>0.10348379359682203</v>
      </c>
      <c r="F67">
        <f t="shared" si="10"/>
        <v>0</v>
      </c>
      <c r="G67" t="str">
        <f t="shared" si="11"/>
        <v>KONTROL İÇİNDE</v>
      </c>
    </row>
    <row r="68" spans="1:7" x14ac:dyDescent="0.35">
      <c r="A68" s="21">
        <v>46133</v>
      </c>
      <c r="B68">
        <v>19</v>
      </c>
      <c r="C68">
        <v>0</v>
      </c>
      <c r="D68">
        <f t="shared" si="8"/>
        <v>0</v>
      </c>
      <c r="E68">
        <f t="shared" si="9"/>
        <v>7.0009247419419024E-2</v>
      </c>
      <c r="F68">
        <f t="shared" si="10"/>
        <v>0</v>
      </c>
      <c r="G68" t="str">
        <f t="shared" si="11"/>
        <v>KONTROL İÇİNDE</v>
      </c>
    </row>
    <row r="69" spans="1:7" x14ac:dyDescent="0.35">
      <c r="A69" s="21">
        <v>46134</v>
      </c>
      <c r="B69">
        <v>2</v>
      </c>
      <c r="C69">
        <v>0</v>
      </c>
      <c r="D69">
        <f t="shared" si="8"/>
        <v>0</v>
      </c>
      <c r="E69">
        <f t="shared" si="9"/>
        <v>0.19882182084852079</v>
      </c>
      <c r="F69">
        <f t="shared" si="10"/>
        <v>0</v>
      </c>
      <c r="G69" t="str">
        <f t="shared" si="11"/>
        <v>KONTROL İÇİNDE</v>
      </c>
    </row>
    <row r="70" spans="1:7" x14ac:dyDescent="0.35">
      <c r="A70" s="21">
        <v>46136</v>
      </c>
      <c r="B70">
        <v>51</v>
      </c>
      <c r="C70">
        <v>0</v>
      </c>
      <c r="D70">
        <f t="shared" si="8"/>
        <v>0</v>
      </c>
      <c r="E70">
        <f t="shared" si="9"/>
        <v>4.5905251719328355E-2</v>
      </c>
      <c r="F70">
        <f t="shared" si="10"/>
        <v>0</v>
      </c>
      <c r="G70" t="str">
        <f t="shared" si="11"/>
        <v>KONTROL İÇİNDE</v>
      </c>
    </row>
    <row r="71" spans="1:7" x14ac:dyDescent="0.35">
      <c r="A71" s="21">
        <v>46139</v>
      </c>
      <c r="B71">
        <v>22</v>
      </c>
      <c r="C71">
        <v>0</v>
      </c>
      <c r="D71">
        <f t="shared" si="8"/>
        <v>0</v>
      </c>
      <c r="E71">
        <f t="shared" si="9"/>
        <v>6.563675991722559E-2</v>
      </c>
      <c r="F71">
        <f t="shared" si="10"/>
        <v>0</v>
      </c>
      <c r="G71" t="str">
        <f t="shared" si="11"/>
        <v>KONTROL İÇİNDE</v>
      </c>
    </row>
    <row r="72" spans="1:7" x14ac:dyDescent="0.35">
      <c r="A72" s="21">
        <v>46140</v>
      </c>
      <c r="B72">
        <v>72</v>
      </c>
      <c r="C72">
        <v>0</v>
      </c>
      <c r="D72">
        <f t="shared" si="8"/>
        <v>0</v>
      </c>
      <c r="E72">
        <f t="shared" si="9"/>
        <v>3.9925108762356179E-2</v>
      </c>
      <c r="F72">
        <f t="shared" si="10"/>
        <v>0</v>
      </c>
      <c r="G72" t="str">
        <f t="shared" si="11"/>
        <v>KONTROL İÇİNDE</v>
      </c>
    </row>
    <row r="73" spans="1:7" x14ac:dyDescent="0.35">
      <c r="A73" s="21">
        <v>46141</v>
      </c>
      <c r="B73">
        <v>9</v>
      </c>
      <c r="C73">
        <v>0</v>
      </c>
      <c r="D73">
        <f t="shared" si="8"/>
        <v>0</v>
      </c>
      <c r="E73">
        <f t="shared" si="9"/>
        <v>9.8031320444622011E-2</v>
      </c>
      <c r="F73">
        <f t="shared" si="10"/>
        <v>0</v>
      </c>
      <c r="G73" t="str">
        <f t="shared" si="11"/>
        <v>KONTROL İÇİNDE</v>
      </c>
    </row>
    <row r="74" spans="1:7" x14ac:dyDescent="0.35">
      <c r="A74" s="21">
        <v>46142</v>
      </c>
      <c r="B74">
        <v>8</v>
      </c>
      <c r="C74">
        <v>0</v>
      </c>
      <c r="D74">
        <f t="shared" si="8"/>
        <v>0</v>
      </c>
      <c r="E74">
        <f t="shared" si="9"/>
        <v>0.10348379359682203</v>
      </c>
      <c r="F74">
        <f t="shared" si="10"/>
        <v>0</v>
      </c>
      <c r="G74" t="str">
        <f t="shared" si="11"/>
        <v>KONTROL İÇİNDE</v>
      </c>
    </row>
    <row r="75" spans="1:7" x14ac:dyDescent="0.35">
      <c r="A75" s="21">
        <v>46147</v>
      </c>
      <c r="B75">
        <v>1</v>
      </c>
      <c r="C75">
        <v>0</v>
      </c>
      <c r="D75">
        <f t="shared" si="8"/>
        <v>0</v>
      </c>
      <c r="E75">
        <f t="shared" si="9"/>
        <v>0.27780242864361954</v>
      </c>
      <c r="F75">
        <f t="shared" si="10"/>
        <v>0</v>
      </c>
      <c r="G75" t="str">
        <f t="shared" si="11"/>
        <v>KONTROL İÇİNDE</v>
      </c>
    </row>
    <row r="76" spans="1:7" x14ac:dyDescent="0.35">
      <c r="A76" s="21">
        <v>46148</v>
      </c>
      <c r="B76">
        <v>5</v>
      </c>
      <c r="C76">
        <v>0</v>
      </c>
      <c r="D76">
        <f t="shared" si="8"/>
        <v>0</v>
      </c>
      <c r="E76">
        <f t="shared" si="9"/>
        <v>0.12873989184215173</v>
      </c>
      <c r="F76">
        <f t="shared" si="10"/>
        <v>0</v>
      </c>
      <c r="G76" t="str">
        <f t="shared" si="11"/>
        <v>KONTROL İÇİNDE</v>
      </c>
    </row>
    <row r="77" spans="1:7" x14ac:dyDescent="0.35">
      <c r="A77" s="21">
        <v>46149</v>
      </c>
      <c r="B77">
        <v>6</v>
      </c>
      <c r="C77">
        <v>0</v>
      </c>
      <c r="D77">
        <f t="shared" si="8"/>
        <v>0</v>
      </c>
      <c r="E77">
        <f t="shared" si="9"/>
        <v>0.11823263774067558</v>
      </c>
      <c r="F77">
        <f t="shared" si="10"/>
        <v>0</v>
      </c>
      <c r="G77" t="str">
        <f t="shared" si="11"/>
        <v>KONTROL İÇİNDE</v>
      </c>
    </row>
    <row r="78" spans="1:7" x14ac:dyDescent="0.35">
      <c r="A78" s="21">
        <v>46150</v>
      </c>
      <c r="B78">
        <v>2</v>
      </c>
      <c r="C78">
        <v>0</v>
      </c>
      <c r="D78">
        <f t="shared" si="8"/>
        <v>0</v>
      </c>
      <c r="E78">
        <f t="shared" si="9"/>
        <v>0.19882182084852079</v>
      </c>
      <c r="F78">
        <f t="shared" si="10"/>
        <v>0</v>
      </c>
      <c r="G78" t="str">
        <f t="shared" si="11"/>
        <v>KONTROL İÇİNDE</v>
      </c>
    </row>
    <row r="79" spans="1:7" x14ac:dyDescent="0.35">
      <c r="A79" s="21">
        <v>46153</v>
      </c>
      <c r="B79">
        <v>1</v>
      </c>
      <c r="C79">
        <v>0</v>
      </c>
      <c r="D79">
        <f t="shared" si="8"/>
        <v>0</v>
      </c>
      <c r="E79">
        <f t="shared" si="9"/>
        <v>0.27780242864361954</v>
      </c>
      <c r="F79">
        <f t="shared" si="10"/>
        <v>0</v>
      </c>
      <c r="G79" t="str">
        <f t="shared" si="11"/>
        <v>KONTROL İÇİNDE</v>
      </c>
    </row>
    <row r="80" spans="1:7" x14ac:dyDescent="0.35">
      <c r="A80" s="21">
        <v>46156</v>
      </c>
      <c r="B80">
        <v>70</v>
      </c>
      <c r="C80">
        <v>0</v>
      </c>
      <c r="D80">
        <f t="shared" si="8"/>
        <v>0</v>
      </c>
      <c r="E80">
        <f t="shared" si="9"/>
        <v>4.0375902092801855E-2</v>
      </c>
      <c r="F80">
        <f t="shared" si="10"/>
        <v>0</v>
      </c>
      <c r="G80" t="str">
        <f t="shared" si="11"/>
        <v>KONTROL İÇİNDE</v>
      </c>
    </row>
    <row r="81" spans="1:8" x14ac:dyDescent="0.35">
      <c r="A81" s="21">
        <v>46160</v>
      </c>
      <c r="B81">
        <v>3</v>
      </c>
      <c r="C81">
        <v>0</v>
      </c>
      <c r="D81">
        <f t="shared" si="8"/>
        <v>0</v>
      </c>
      <c r="E81">
        <f t="shared" si="9"/>
        <v>0.16383211291193608</v>
      </c>
      <c r="F81">
        <f t="shared" si="10"/>
        <v>0</v>
      </c>
      <c r="G81" t="str">
        <f t="shared" si="11"/>
        <v>KONTROL İÇİNDE</v>
      </c>
    </row>
    <row r="82" spans="1:8" x14ac:dyDescent="0.35">
      <c r="A82" s="21">
        <v>46163</v>
      </c>
      <c r="B82">
        <v>2</v>
      </c>
      <c r="C82">
        <v>0</v>
      </c>
      <c r="D82">
        <f t="shared" si="8"/>
        <v>0</v>
      </c>
      <c r="E82">
        <f t="shared" si="9"/>
        <v>0.19882182084852079</v>
      </c>
      <c r="F82">
        <f t="shared" si="10"/>
        <v>0</v>
      </c>
      <c r="G82" t="str">
        <f t="shared" si="11"/>
        <v>KONTROL İÇİNDE</v>
      </c>
    </row>
    <row r="83" spans="1:8" x14ac:dyDescent="0.35">
      <c r="A83" s="21">
        <v>46176</v>
      </c>
      <c r="B83">
        <v>8</v>
      </c>
      <c r="C83">
        <v>0</v>
      </c>
      <c r="D83">
        <f t="shared" si="8"/>
        <v>0</v>
      </c>
      <c r="E83">
        <f t="shared" si="9"/>
        <v>0.10348379359682203</v>
      </c>
      <c r="F83">
        <f t="shared" si="10"/>
        <v>0</v>
      </c>
      <c r="G83" t="str">
        <f t="shared" si="11"/>
        <v>KONTROL İÇİNDE</v>
      </c>
    </row>
    <row r="84" spans="1:8" x14ac:dyDescent="0.35">
      <c r="A84" s="21">
        <v>46177</v>
      </c>
      <c r="B84">
        <v>18</v>
      </c>
      <c r="C84">
        <v>0</v>
      </c>
      <c r="D84">
        <f t="shared" si="8"/>
        <v>0</v>
      </c>
      <c r="E84">
        <f t="shared" si="9"/>
        <v>7.170445117958911E-2</v>
      </c>
      <c r="F84">
        <f t="shared" si="10"/>
        <v>0</v>
      </c>
      <c r="G84" t="str">
        <f t="shared" si="11"/>
        <v>KONTROL İÇİNDE</v>
      </c>
    </row>
    <row r="85" spans="1:8" x14ac:dyDescent="0.35">
      <c r="A85" s="21">
        <v>46178</v>
      </c>
      <c r="B85">
        <v>6</v>
      </c>
      <c r="C85">
        <v>0</v>
      </c>
      <c r="D85">
        <f t="shared" si="8"/>
        <v>0</v>
      </c>
      <c r="E85">
        <f t="shared" si="9"/>
        <v>0.11823263774067558</v>
      </c>
      <c r="F85">
        <f t="shared" si="10"/>
        <v>0</v>
      </c>
      <c r="G85" t="str">
        <f t="shared" si="11"/>
        <v>KONTROL İÇİNDE</v>
      </c>
    </row>
    <row r="86" spans="1:8" x14ac:dyDescent="0.35">
      <c r="A86" s="21">
        <v>46181</v>
      </c>
      <c r="B86">
        <v>35</v>
      </c>
      <c r="C86">
        <v>0</v>
      </c>
      <c r="D86">
        <f t="shared" si="8"/>
        <v>0</v>
      </c>
      <c r="E86">
        <f t="shared" si="9"/>
        <v>5.3726061436616235E-2</v>
      </c>
      <c r="F86">
        <f t="shared" si="10"/>
        <v>0</v>
      </c>
      <c r="G86" t="str">
        <f t="shared" si="11"/>
        <v>KONTROL İÇİNDE</v>
      </c>
    </row>
    <row r="87" spans="1:8" x14ac:dyDescent="0.35">
      <c r="A87" s="21">
        <v>46182</v>
      </c>
      <c r="B87">
        <v>13</v>
      </c>
      <c r="C87">
        <v>0</v>
      </c>
      <c r="D87">
        <f t="shared" si="8"/>
        <v>0</v>
      </c>
      <c r="E87">
        <f t="shared" si="9"/>
        <v>8.2935068090331368E-2</v>
      </c>
      <c r="F87">
        <f t="shared" si="10"/>
        <v>0</v>
      </c>
      <c r="G87" t="str">
        <f t="shared" si="11"/>
        <v>KONTROL İÇİNDE</v>
      </c>
    </row>
    <row r="88" spans="1:8" x14ac:dyDescent="0.35">
      <c r="A88" s="21">
        <v>46183</v>
      </c>
      <c r="B88">
        <v>67</v>
      </c>
      <c r="C88">
        <v>0</v>
      </c>
      <c r="D88">
        <f t="shared" si="8"/>
        <v>0</v>
      </c>
      <c r="E88">
        <f t="shared" si="9"/>
        <v>4.1089570945106388E-2</v>
      </c>
      <c r="F88">
        <f t="shared" si="10"/>
        <v>0</v>
      </c>
      <c r="G88" t="str">
        <f t="shared" si="11"/>
        <v>KONTROL İÇİNDE</v>
      </c>
    </row>
    <row r="89" spans="1:8" x14ac:dyDescent="0.35">
      <c r="A89" s="21">
        <v>46184</v>
      </c>
      <c r="B89">
        <v>147</v>
      </c>
      <c r="C89">
        <v>0</v>
      </c>
      <c r="D89">
        <f t="shared" si="8"/>
        <v>0</v>
      </c>
      <c r="E89">
        <f t="shared" si="9"/>
        <v>3.038667299752509E-2</v>
      </c>
      <c r="F89">
        <f t="shared" si="10"/>
        <v>0</v>
      </c>
      <c r="G89" t="str">
        <f t="shared" si="11"/>
        <v>KONTROL İÇİNDE</v>
      </c>
    </row>
    <row r="90" spans="1:8" x14ac:dyDescent="0.35">
      <c r="A90" s="21">
        <v>46185</v>
      </c>
      <c r="B90">
        <v>4</v>
      </c>
      <c r="C90">
        <v>0</v>
      </c>
      <c r="D90">
        <f t="shared" si="8"/>
        <v>0</v>
      </c>
      <c r="E90">
        <f t="shared" si="9"/>
        <v>0.1429740974943714</v>
      </c>
      <c r="F90">
        <f t="shared" si="10"/>
        <v>0</v>
      </c>
      <c r="G90" t="str">
        <f t="shared" si="11"/>
        <v>KONTROL İÇİNDE</v>
      </c>
    </row>
    <row r="91" spans="1:8" x14ac:dyDescent="0.35">
      <c r="A91" s="21">
        <v>46186</v>
      </c>
      <c r="B91">
        <v>15</v>
      </c>
      <c r="C91">
        <v>5</v>
      </c>
      <c r="D91">
        <f t="shared" si="8"/>
        <v>0.33333333333333331</v>
      </c>
      <c r="E91">
        <f t="shared" si="9"/>
        <v>7.7770817163520162E-2</v>
      </c>
      <c r="F91">
        <f t="shared" si="10"/>
        <v>0</v>
      </c>
      <c r="G91" t="str">
        <f t="shared" si="11"/>
        <v xml:space="preserve"> KONTROL DIŞINDA</v>
      </c>
    </row>
    <row r="92" spans="1:8" x14ac:dyDescent="0.35">
      <c r="A92" s="21">
        <v>46188</v>
      </c>
      <c r="B92">
        <v>5</v>
      </c>
      <c r="C92">
        <v>0</v>
      </c>
      <c r="D92">
        <f t="shared" si="8"/>
        <v>0</v>
      </c>
      <c r="E92">
        <f t="shared" si="9"/>
        <v>0.12873989184215173</v>
      </c>
      <c r="F92">
        <f t="shared" si="10"/>
        <v>0</v>
      </c>
      <c r="G92" t="str">
        <f t="shared" si="11"/>
        <v>KONTROL İÇİNDE</v>
      </c>
    </row>
    <row r="93" spans="1:8" x14ac:dyDescent="0.35">
      <c r="A93" s="21">
        <v>46189</v>
      </c>
      <c r="B93">
        <v>21</v>
      </c>
      <c r="C93">
        <v>1</v>
      </c>
      <c r="D93">
        <f t="shared" si="8"/>
        <v>4.7619047619047616E-2</v>
      </c>
      <c r="E93">
        <f t="shared" si="9"/>
        <v>6.6989674279980579E-2</v>
      </c>
      <c r="F93">
        <f t="shared" si="10"/>
        <v>0</v>
      </c>
      <c r="G93" t="str">
        <f t="shared" si="11"/>
        <v>KONTROL İÇİNDE</v>
      </c>
    </row>
    <row r="94" spans="1:8" x14ac:dyDescent="0.35">
      <c r="A94" s="21">
        <v>46190</v>
      </c>
      <c r="B94">
        <v>9</v>
      </c>
      <c r="C94">
        <v>0</v>
      </c>
      <c r="D94">
        <f t="shared" si="8"/>
        <v>0</v>
      </c>
      <c r="E94">
        <f t="shared" si="9"/>
        <v>9.8031320444622011E-2</v>
      </c>
      <c r="F94">
        <f t="shared" si="10"/>
        <v>0</v>
      </c>
      <c r="G94" t="str">
        <f t="shared" si="11"/>
        <v>KONTROL İÇİNDE</v>
      </c>
    </row>
    <row r="95" spans="1:8" ht="30" customHeight="1" x14ac:dyDescent="0.35">
      <c r="A95" s="21">
        <v>46191</v>
      </c>
      <c r="B95">
        <v>9</v>
      </c>
      <c r="C95">
        <v>1</v>
      </c>
      <c r="D95">
        <f t="shared" si="8"/>
        <v>0.1111111111111111</v>
      </c>
      <c r="E95">
        <f t="shared" si="9"/>
        <v>9.8031320444622011E-2</v>
      </c>
      <c r="F95">
        <f t="shared" si="10"/>
        <v>0</v>
      </c>
      <c r="G95" t="str">
        <f t="shared" si="11"/>
        <v xml:space="preserve"> KONTROL DIŞINDA</v>
      </c>
      <c r="H95" s="7" t="s">
        <v>51</v>
      </c>
    </row>
    <row r="96" spans="1:8" x14ac:dyDescent="0.35">
      <c r="A96" s="21">
        <v>46192</v>
      </c>
      <c r="B96">
        <v>30</v>
      </c>
      <c r="C96">
        <v>0</v>
      </c>
      <c r="D96">
        <f t="shared" si="8"/>
        <v>0</v>
      </c>
      <c r="E96">
        <f t="shared" si="9"/>
        <v>5.7378111919269684E-2</v>
      </c>
      <c r="F96">
        <f t="shared" si="10"/>
        <v>0</v>
      </c>
      <c r="G96" t="str">
        <f t="shared" si="11"/>
        <v>KONTROL İÇİNDE</v>
      </c>
    </row>
    <row r="97" spans="1:8" x14ac:dyDescent="0.35">
      <c r="A97" s="21">
        <v>46195</v>
      </c>
      <c r="B97">
        <v>3</v>
      </c>
      <c r="C97">
        <v>0</v>
      </c>
      <c r="D97">
        <f t="shared" si="8"/>
        <v>0</v>
      </c>
      <c r="E97">
        <f t="shared" si="9"/>
        <v>0.16383211291193608</v>
      </c>
      <c r="F97">
        <f t="shared" si="10"/>
        <v>0</v>
      </c>
      <c r="G97" t="str">
        <f t="shared" si="11"/>
        <v>KONTROL İÇİNDE</v>
      </c>
    </row>
    <row r="98" spans="1:8" x14ac:dyDescent="0.35">
      <c r="A98" s="21">
        <v>46196</v>
      </c>
      <c r="B98">
        <v>68</v>
      </c>
      <c r="C98">
        <v>0</v>
      </c>
      <c r="D98">
        <f t="shared" ref="D98:D129" si="12">C98/B98</f>
        <v>0</v>
      </c>
      <c r="E98">
        <f t="shared" ref="E98:E129" si="13">$D$151+3*SQRT($D$151*(1-$D$151)/B98)</f>
        <v>4.0846439913011831E-2</v>
      </c>
      <c r="F98">
        <f t="shared" ref="F98:F129" si="14">MAX(0,$D$151-3*SQRT($D$151*(1-$D$151)/B98))</f>
        <v>0</v>
      </c>
      <c r="G98" t="str">
        <f t="shared" ref="G98:G129" si="15">IF(AND(D98&lt;=E98,D98&gt;=F98),"KONTROL İÇİNDE"," KONTROL DIŞINDA")</f>
        <v>KONTROL İÇİNDE</v>
      </c>
    </row>
    <row r="99" spans="1:8" ht="20" customHeight="1" x14ac:dyDescent="0.35">
      <c r="A99" s="21">
        <v>46197</v>
      </c>
      <c r="B99">
        <v>42</v>
      </c>
      <c r="C99">
        <v>7</v>
      </c>
      <c r="D99">
        <f t="shared" si="12"/>
        <v>0.16666666666666666</v>
      </c>
      <c r="E99">
        <f t="shared" si="13"/>
        <v>4.9754692677377768E-2</v>
      </c>
      <c r="F99">
        <f t="shared" si="14"/>
        <v>0</v>
      </c>
      <c r="G99" t="str">
        <f t="shared" si="15"/>
        <v xml:space="preserve"> KONTROL DIŞINDA</v>
      </c>
      <c r="H99" s="7" t="s">
        <v>52</v>
      </c>
    </row>
    <row r="100" spans="1:8" x14ac:dyDescent="0.35">
      <c r="A100" s="21">
        <v>46198</v>
      </c>
      <c r="B100">
        <v>47</v>
      </c>
      <c r="C100">
        <v>0</v>
      </c>
      <c r="D100">
        <f t="shared" si="12"/>
        <v>0</v>
      </c>
      <c r="E100">
        <f t="shared" si="13"/>
        <v>4.7479233098644033E-2</v>
      </c>
      <c r="F100">
        <f t="shared" si="14"/>
        <v>0</v>
      </c>
      <c r="G100" t="str">
        <f t="shared" si="15"/>
        <v>KONTROL İÇİNDE</v>
      </c>
    </row>
    <row r="101" spans="1:8" x14ac:dyDescent="0.35">
      <c r="A101" s="21">
        <v>46199</v>
      </c>
      <c r="B101">
        <v>3</v>
      </c>
      <c r="C101">
        <v>0</v>
      </c>
      <c r="D101">
        <f t="shared" si="12"/>
        <v>0</v>
      </c>
      <c r="E101">
        <f t="shared" si="13"/>
        <v>0.16383211291193608</v>
      </c>
      <c r="F101">
        <f t="shared" si="14"/>
        <v>0</v>
      </c>
      <c r="G101" t="str">
        <f t="shared" si="15"/>
        <v>KONTROL İÇİNDE</v>
      </c>
    </row>
    <row r="102" spans="1:8" x14ac:dyDescent="0.35">
      <c r="A102" s="21">
        <v>46203</v>
      </c>
      <c r="B102">
        <v>12</v>
      </c>
      <c r="C102">
        <v>0</v>
      </c>
      <c r="D102">
        <f t="shared" si="12"/>
        <v>0</v>
      </c>
      <c r="E102">
        <f t="shared" si="13"/>
        <v>8.5988939628529673E-2</v>
      </c>
      <c r="F102">
        <f t="shared" si="14"/>
        <v>0</v>
      </c>
      <c r="G102" t="str">
        <f t="shared" si="15"/>
        <v>KONTROL İÇİNDE</v>
      </c>
    </row>
    <row r="103" spans="1:8" x14ac:dyDescent="0.35">
      <c r="A103" s="21">
        <v>46205</v>
      </c>
      <c r="B103">
        <v>16</v>
      </c>
      <c r="C103">
        <v>0</v>
      </c>
      <c r="D103">
        <f t="shared" si="12"/>
        <v>0</v>
      </c>
      <c r="E103">
        <f t="shared" si="13"/>
        <v>7.5559931919747331E-2</v>
      </c>
      <c r="F103">
        <f t="shared" si="14"/>
        <v>0</v>
      </c>
      <c r="G103" t="str">
        <f t="shared" si="15"/>
        <v>KONTROL İÇİNDE</v>
      </c>
    </row>
    <row r="104" spans="1:8" x14ac:dyDescent="0.35">
      <c r="A104" s="21">
        <v>46206</v>
      </c>
      <c r="B104">
        <v>27</v>
      </c>
      <c r="C104">
        <v>0</v>
      </c>
      <c r="D104">
        <f t="shared" si="12"/>
        <v>0</v>
      </c>
      <c r="E104">
        <f t="shared" si="13"/>
        <v>6.0041215200727541E-2</v>
      </c>
      <c r="F104">
        <f t="shared" si="14"/>
        <v>0</v>
      </c>
      <c r="G104" t="str">
        <f t="shared" si="15"/>
        <v>KONTROL İÇİNDE</v>
      </c>
    </row>
    <row r="105" spans="1:8" x14ac:dyDescent="0.35">
      <c r="A105" s="21">
        <v>46207</v>
      </c>
      <c r="B105">
        <v>224</v>
      </c>
      <c r="C105">
        <v>0</v>
      </c>
      <c r="D105">
        <f t="shared" si="12"/>
        <v>0</v>
      </c>
      <c r="E105">
        <f t="shared" si="13"/>
        <v>2.6162959959087091E-2</v>
      </c>
      <c r="F105">
        <f t="shared" si="14"/>
        <v>0</v>
      </c>
      <c r="G105" t="str">
        <f t="shared" si="15"/>
        <v>KONTROL İÇİNDE</v>
      </c>
    </row>
    <row r="106" spans="1:8" x14ac:dyDescent="0.35">
      <c r="A106" s="21">
        <v>46209</v>
      </c>
      <c r="B106">
        <v>24</v>
      </c>
      <c r="C106">
        <v>0</v>
      </c>
      <c r="D106">
        <f t="shared" si="12"/>
        <v>0</v>
      </c>
      <c r="E106">
        <f t="shared" si="13"/>
        <v>6.318920204289942E-2</v>
      </c>
      <c r="F106">
        <f t="shared" si="14"/>
        <v>0</v>
      </c>
      <c r="G106" t="str">
        <f t="shared" si="15"/>
        <v>KONTROL İÇİNDE</v>
      </c>
    </row>
    <row r="107" spans="1:8" x14ac:dyDescent="0.35">
      <c r="A107" s="21">
        <v>46210</v>
      </c>
      <c r="B107">
        <v>11</v>
      </c>
      <c r="C107">
        <v>0</v>
      </c>
      <c r="D107">
        <f t="shared" si="12"/>
        <v>0</v>
      </c>
      <c r="E107">
        <f t="shared" si="13"/>
        <v>8.9450309169094799E-2</v>
      </c>
      <c r="F107">
        <f t="shared" si="14"/>
        <v>0</v>
      </c>
      <c r="G107" t="str">
        <f t="shared" si="15"/>
        <v>KONTROL İÇİNDE</v>
      </c>
    </row>
    <row r="108" spans="1:8" x14ac:dyDescent="0.35">
      <c r="A108" s="21">
        <v>46211</v>
      </c>
      <c r="B108">
        <v>60</v>
      </c>
      <c r="C108">
        <v>0</v>
      </c>
      <c r="D108">
        <f t="shared" si="12"/>
        <v>0</v>
      </c>
      <c r="E108">
        <f t="shared" si="13"/>
        <v>4.2958291754321712E-2</v>
      </c>
      <c r="F108">
        <f t="shared" si="14"/>
        <v>0</v>
      </c>
      <c r="G108" t="str">
        <f t="shared" si="15"/>
        <v>KONTROL İÇİNDE</v>
      </c>
    </row>
    <row r="109" spans="1:8" x14ac:dyDescent="0.35">
      <c r="A109" s="21">
        <v>46212</v>
      </c>
      <c r="B109">
        <v>41</v>
      </c>
      <c r="C109">
        <v>0</v>
      </c>
      <c r="D109">
        <f t="shared" si="12"/>
        <v>0</v>
      </c>
      <c r="E109">
        <f t="shared" si="13"/>
        <v>5.0259061714604869E-2</v>
      </c>
      <c r="F109">
        <f t="shared" si="14"/>
        <v>0</v>
      </c>
      <c r="G109" t="str">
        <f t="shared" si="15"/>
        <v>KONTROL İÇİNDE</v>
      </c>
    </row>
    <row r="110" spans="1:8" x14ac:dyDescent="0.35">
      <c r="A110" s="21">
        <v>46213</v>
      </c>
      <c r="B110">
        <v>4</v>
      </c>
      <c r="C110">
        <v>0</v>
      </c>
      <c r="D110">
        <f t="shared" si="12"/>
        <v>0</v>
      </c>
      <c r="E110">
        <f t="shared" si="13"/>
        <v>0.1429740974943714</v>
      </c>
      <c r="F110">
        <f t="shared" si="14"/>
        <v>0</v>
      </c>
      <c r="G110" t="str">
        <f t="shared" si="15"/>
        <v>KONTROL İÇİNDE</v>
      </c>
    </row>
    <row r="111" spans="1:8" x14ac:dyDescent="0.35">
      <c r="A111" s="21">
        <v>46216</v>
      </c>
      <c r="B111">
        <v>3</v>
      </c>
      <c r="C111">
        <v>0</v>
      </c>
      <c r="D111">
        <f t="shared" si="12"/>
        <v>0</v>
      </c>
      <c r="E111">
        <f t="shared" si="13"/>
        <v>0.16383211291193608</v>
      </c>
      <c r="F111">
        <f t="shared" si="14"/>
        <v>0</v>
      </c>
      <c r="G111" t="str">
        <f t="shared" si="15"/>
        <v>KONTROL İÇİNDE</v>
      </c>
    </row>
    <row r="112" spans="1:8" x14ac:dyDescent="0.35">
      <c r="A112" s="21">
        <v>46217</v>
      </c>
      <c r="B112">
        <v>8</v>
      </c>
      <c r="C112">
        <v>0</v>
      </c>
      <c r="D112">
        <f t="shared" si="12"/>
        <v>0</v>
      </c>
      <c r="E112">
        <f t="shared" si="13"/>
        <v>0.10348379359682203</v>
      </c>
      <c r="F112">
        <f t="shared" si="14"/>
        <v>0</v>
      </c>
      <c r="G112" t="str">
        <f t="shared" si="15"/>
        <v>KONTROL İÇİNDE</v>
      </c>
    </row>
    <row r="113" spans="1:7" x14ac:dyDescent="0.35">
      <c r="A113" s="21">
        <v>46219</v>
      </c>
      <c r="B113">
        <v>40</v>
      </c>
      <c r="C113">
        <v>0</v>
      </c>
      <c r="D113">
        <f t="shared" si="12"/>
        <v>0</v>
      </c>
      <c r="E113">
        <f t="shared" si="13"/>
        <v>5.0782228300228438E-2</v>
      </c>
      <c r="F113">
        <f t="shared" si="14"/>
        <v>0</v>
      </c>
      <c r="G113" t="str">
        <f t="shared" si="15"/>
        <v>KONTROL İÇİNDE</v>
      </c>
    </row>
    <row r="114" spans="1:7" x14ac:dyDescent="0.35">
      <c r="A114" s="21">
        <v>46220</v>
      </c>
      <c r="B114">
        <v>9</v>
      </c>
      <c r="C114">
        <v>0</v>
      </c>
      <c r="D114">
        <f t="shared" si="12"/>
        <v>0</v>
      </c>
      <c r="E114">
        <f t="shared" si="13"/>
        <v>9.8031320444622011E-2</v>
      </c>
      <c r="F114">
        <f t="shared" si="14"/>
        <v>0</v>
      </c>
      <c r="G114" t="str">
        <f t="shared" si="15"/>
        <v>KONTROL İÇİNDE</v>
      </c>
    </row>
    <row r="115" spans="1:7" x14ac:dyDescent="0.35">
      <c r="A115" s="21">
        <v>46221</v>
      </c>
      <c r="B115">
        <v>3</v>
      </c>
      <c r="C115">
        <v>0</v>
      </c>
      <c r="D115">
        <f t="shared" si="12"/>
        <v>0</v>
      </c>
      <c r="E115">
        <f t="shared" si="13"/>
        <v>0.16383211291193608</v>
      </c>
      <c r="F115">
        <f t="shared" si="14"/>
        <v>0</v>
      </c>
      <c r="G115" t="str">
        <f t="shared" si="15"/>
        <v>KONTROL İÇİNDE</v>
      </c>
    </row>
    <row r="116" spans="1:7" x14ac:dyDescent="0.35">
      <c r="A116" s="21">
        <v>46223</v>
      </c>
      <c r="B116">
        <v>42</v>
      </c>
      <c r="C116">
        <v>0</v>
      </c>
      <c r="D116">
        <f t="shared" si="12"/>
        <v>0</v>
      </c>
      <c r="E116">
        <f t="shared" si="13"/>
        <v>4.9754692677377768E-2</v>
      </c>
      <c r="F116">
        <f t="shared" si="14"/>
        <v>0</v>
      </c>
      <c r="G116" t="str">
        <f t="shared" si="15"/>
        <v>KONTROL İÇİNDE</v>
      </c>
    </row>
    <row r="117" spans="1:7" x14ac:dyDescent="0.35">
      <c r="A117" s="21">
        <v>46224</v>
      </c>
      <c r="B117">
        <v>172</v>
      </c>
      <c r="C117">
        <v>0</v>
      </c>
      <c r="D117">
        <f t="shared" si="12"/>
        <v>0</v>
      </c>
      <c r="E117">
        <f t="shared" si="13"/>
        <v>2.8706894085714585E-2</v>
      </c>
      <c r="F117">
        <f t="shared" si="14"/>
        <v>0</v>
      </c>
      <c r="G117" t="str">
        <f t="shared" si="15"/>
        <v>KONTROL İÇİNDE</v>
      </c>
    </row>
    <row r="118" spans="1:7" x14ac:dyDescent="0.35">
      <c r="A118" s="21">
        <v>46225</v>
      </c>
      <c r="B118">
        <v>4</v>
      </c>
      <c r="C118">
        <v>0</v>
      </c>
      <c r="D118">
        <f t="shared" si="12"/>
        <v>0</v>
      </c>
      <c r="E118">
        <f t="shared" si="13"/>
        <v>0.1429740974943714</v>
      </c>
      <c r="F118">
        <f t="shared" si="14"/>
        <v>0</v>
      </c>
      <c r="G118" t="str">
        <f t="shared" si="15"/>
        <v>KONTROL İÇİNDE</v>
      </c>
    </row>
    <row r="119" spans="1:7" x14ac:dyDescent="0.35">
      <c r="A119" s="21">
        <v>46226</v>
      </c>
      <c r="B119">
        <v>24</v>
      </c>
      <c r="C119">
        <v>0</v>
      </c>
      <c r="D119">
        <f t="shared" si="12"/>
        <v>0</v>
      </c>
      <c r="E119">
        <f t="shared" si="13"/>
        <v>6.318920204289942E-2</v>
      </c>
      <c r="F119">
        <f t="shared" si="14"/>
        <v>0</v>
      </c>
      <c r="G119" t="str">
        <f t="shared" si="15"/>
        <v>KONTROL İÇİNDE</v>
      </c>
    </row>
    <row r="120" spans="1:7" x14ac:dyDescent="0.35">
      <c r="A120" s="21">
        <v>46227</v>
      </c>
      <c r="B120">
        <v>22</v>
      </c>
      <c r="C120">
        <v>0</v>
      </c>
      <c r="D120">
        <f t="shared" si="12"/>
        <v>0</v>
      </c>
      <c r="E120">
        <f t="shared" si="13"/>
        <v>6.563675991722559E-2</v>
      </c>
      <c r="F120">
        <f t="shared" si="14"/>
        <v>0</v>
      </c>
      <c r="G120" t="str">
        <f t="shared" si="15"/>
        <v>KONTROL İÇİNDE</v>
      </c>
    </row>
    <row r="121" spans="1:7" x14ac:dyDescent="0.35">
      <c r="A121" s="21">
        <v>46228</v>
      </c>
      <c r="B121">
        <v>2</v>
      </c>
      <c r="C121">
        <v>0</v>
      </c>
      <c r="D121">
        <f t="shared" si="12"/>
        <v>0</v>
      </c>
      <c r="E121">
        <f t="shared" si="13"/>
        <v>0.19882182084852079</v>
      </c>
      <c r="F121">
        <f t="shared" si="14"/>
        <v>0</v>
      </c>
      <c r="G121" t="str">
        <f t="shared" si="15"/>
        <v>KONTROL İÇİNDE</v>
      </c>
    </row>
    <row r="122" spans="1:7" x14ac:dyDescent="0.35">
      <c r="A122" s="21">
        <v>46229</v>
      </c>
      <c r="B122">
        <v>1</v>
      </c>
      <c r="C122">
        <v>0</v>
      </c>
      <c r="D122">
        <f t="shared" si="12"/>
        <v>0</v>
      </c>
      <c r="E122">
        <f t="shared" si="13"/>
        <v>0.27780242864361954</v>
      </c>
      <c r="F122">
        <f t="shared" si="14"/>
        <v>0</v>
      </c>
      <c r="G122" t="str">
        <f t="shared" si="15"/>
        <v>KONTROL İÇİNDE</v>
      </c>
    </row>
    <row r="123" spans="1:7" x14ac:dyDescent="0.35">
      <c r="A123" s="21">
        <v>46230</v>
      </c>
      <c r="B123">
        <v>30</v>
      </c>
      <c r="C123">
        <v>0</v>
      </c>
      <c r="D123">
        <f t="shared" si="12"/>
        <v>0</v>
      </c>
      <c r="E123">
        <f t="shared" si="13"/>
        <v>5.7378111919269684E-2</v>
      </c>
      <c r="F123">
        <f t="shared" si="14"/>
        <v>0</v>
      </c>
      <c r="G123" t="str">
        <f t="shared" si="15"/>
        <v>KONTROL İÇİNDE</v>
      </c>
    </row>
    <row r="124" spans="1:7" x14ac:dyDescent="0.35">
      <c r="A124" s="21">
        <v>46231</v>
      </c>
      <c r="B124">
        <v>7</v>
      </c>
      <c r="C124">
        <v>0</v>
      </c>
      <c r="D124">
        <f t="shared" si="12"/>
        <v>0</v>
      </c>
      <c r="E124">
        <f t="shared" si="13"/>
        <v>0.11006640460420154</v>
      </c>
      <c r="F124">
        <f t="shared" si="14"/>
        <v>0</v>
      </c>
      <c r="G124" t="str">
        <f t="shared" si="15"/>
        <v>KONTROL İÇİNDE</v>
      </c>
    </row>
    <row r="125" spans="1:7" x14ac:dyDescent="0.35">
      <c r="A125" s="21">
        <v>46232</v>
      </c>
      <c r="B125">
        <v>20</v>
      </c>
      <c r="C125">
        <v>0</v>
      </c>
      <c r="D125">
        <f t="shared" si="12"/>
        <v>0</v>
      </c>
      <c r="E125">
        <f t="shared" si="13"/>
        <v>6.8442829093637497E-2</v>
      </c>
      <c r="F125">
        <f t="shared" si="14"/>
        <v>0</v>
      </c>
      <c r="G125" t="str">
        <f t="shared" si="15"/>
        <v>KONTROL İÇİNDE</v>
      </c>
    </row>
    <row r="126" spans="1:7" x14ac:dyDescent="0.35">
      <c r="A126" s="21">
        <v>46233</v>
      </c>
      <c r="B126">
        <v>20</v>
      </c>
      <c r="C126">
        <v>0</v>
      </c>
      <c r="D126">
        <f t="shared" si="12"/>
        <v>0</v>
      </c>
      <c r="E126">
        <f t="shared" si="13"/>
        <v>6.8442829093637497E-2</v>
      </c>
      <c r="F126">
        <f t="shared" si="14"/>
        <v>0</v>
      </c>
      <c r="G126" t="str">
        <f t="shared" si="15"/>
        <v>KONTROL İÇİNDE</v>
      </c>
    </row>
    <row r="127" spans="1:7" x14ac:dyDescent="0.35">
      <c r="A127" s="21">
        <v>46234</v>
      </c>
      <c r="B127">
        <v>36</v>
      </c>
      <c r="C127">
        <v>0</v>
      </c>
      <c r="D127">
        <f t="shared" si="12"/>
        <v>0</v>
      </c>
      <c r="E127">
        <f t="shared" si="13"/>
        <v>5.3088543394872637E-2</v>
      </c>
      <c r="F127">
        <f t="shared" si="14"/>
        <v>0</v>
      </c>
      <c r="G127" t="str">
        <f t="shared" si="15"/>
        <v>KONTROL İÇİNDE</v>
      </c>
    </row>
    <row r="128" spans="1:7" x14ac:dyDescent="0.35">
      <c r="A128" s="21">
        <v>46237</v>
      </c>
      <c r="B128">
        <v>4</v>
      </c>
      <c r="C128">
        <v>0</v>
      </c>
      <c r="D128">
        <f t="shared" si="12"/>
        <v>0</v>
      </c>
      <c r="E128">
        <f t="shared" si="13"/>
        <v>0.1429740974943714</v>
      </c>
      <c r="F128">
        <f t="shared" si="14"/>
        <v>0</v>
      </c>
      <c r="G128" t="str">
        <f t="shared" si="15"/>
        <v>KONTROL İÇİNDE</v>
      </c>
    </row>
    <row r="129" spans="1:7" x14ac:dyDescent="0.35">
      <c r="A129" s="21">
        <v>46238</v>
      </c>
      <c r="B129">
        <v>8</v>
      </c>
      <c r="C129">
        <v>0</v>
      </c>
      <c r="D129">
        <f t="shared" si="12"/>
        <v>0</v>
      </c>
      <c r="E129">
        <f t="shared" si="13"/>
        <v>0.10348379359682203</v>
      </c>
      <c r="F129">
        <f t="shared" si="14"/>
        <v>0</v>
      </c>
      <c r="G129" t="str">
        <f t="shared" si="15"/>
        <v>KONTROL İÇİNDE</v>
      </c>
    </row>
    <row r="130" spans="1:7" x14ac:dyDescent="0.35">
      <c r="A130" s="21">
        <v>46239</v>
      </c>
      <c r="B130">
        <v>168</v>
      </c>
      <c r="C130">
        <v>0</v>
      </c>
      <c r="D130">
        <f t="shared" ref="D130:D151" si="16">C130/B130</f>
        <v>0</v>
      </c>
      <c r="E130">
        <f t="shared" ref="E130:E150" si="17">$D$151+3*SQRT($D$151*(1-$D$151)/B130)</f>
        <v>2.8950229511250512E-2</v>
      </c>
      <c r="F130">
        <f t="shared" ref="F130:F150" si="18">MAX(0,$D$151-3*SQRT($D$151*(1-$D$151)/B130))</f>
        <v>0</v>
      </c>
      <c r="G130" t="str">
        <f t="shared" ref="G130:G150" si="19">IF(AND(D130&lt;=E130,D130&gt;=F130),"KONTROL İÇİNDE"," KONTROL DIŞINDA")</f>
        <v>KONTROL İÇİNDE</v>
      </c>
    </row>
    <row r="131" spans="1:7" x14ac:dyDescent="0.35">
      <c r="A131" s="21">
        <v>46240</v>
      </c>
      <c r="B131">
        <v>73</v>
      </c>
      <c r="C131">
        <v>0</v>
      </c>
      <c r="D131">
        <f t="shared" si="16"/>
        <v>0</v>
      </c>
      <c r="E131">
        <f t="shared" si="17"/>
        <v>3.9706691449618831E-2</v>
      </c>
      <c r="F131">
        <f t="shared" si="18"/>
        <v>0</v>
      </c>
      <c r="G131" t="str">
        <f t="shared" si="19"/>
        <v>KONTROL İÇİNDE</v>
      </c>
    </row>
    <row r="132" spans="1:7" x14ac:dyDescent="0.35">
      <c r="A132" s="21">
        <v>46241</v>
      </c>
      <c r="B132">
        <v>34</v>
      </c>
      <c r="C132">
        <v>0</v>
      </c>
      <c r="D132">
        <f t="shared" si="16"/>
        <v>0</v>
      </c>
      <c r="E132">
        <f t="shared" si="17"/>
        <v>5.4391502403566674E-2</v>
      </c>
      <c r="F132">
        <f t="shared" si="18"/>
        <v>0</v>
      </c>
      <c r="G132" t="str">
        <f t="shared" si="19"/>
        <v>KONTROL İÇİNDE</v>
      </c>
    </row>
    <row r="133" spans="1:7" x14ac:dyDescent="0.35">
      <c r="A133" s="21">
        <v>46242</v>
      </c>
      <c r="B133">
        <v>1</v>
      </c>
      <c r="C133">
        <v>0</v>
      </c>
      <c r="D133">
        <f t="shared" si="16"/>
        <v>0</v>
      </c>
      <c r="E133">
        <f t="shared" si="17"/>
        <v>0.27780242864361954</v>
      </c>
      <c r="F133">
        <f t="shared" si="18"/>
        <v>0</v>
      </c>
      <c r="G133" t="str">
        <f t="shared" si="19"/>
        <v>KONTROL İÇİNDE</v>
      </c>
    </row>
    <row r="134" spans="1:7" x14ac:dyDescent="0.35">
      <c r="A134" s="21">
        <v>46244</v>
      </c>
      <c r="B134">
        <v>22</v>
      </c>
      <c r="C134">
        <v>0</v>
      </c>
      <c r="D134">
        <f t="shared" si="16"/>
        <v>0</v>
      </c>
      <c r="E134">
        <f t="shared" si="17"/>
        <v>6.563675991722559E-2</v>
      </c>
      <c r="F134">
        <f t="shared" si="18"/>
        <v>0</v>
      </c>
      <c r="G134" t="str">
        <f t="shared" si="19"/>
        <v>KONTROL İÇİNDE</v>
      </c>
    </row>
    <row r="135" spans="1:7" x14ac:dyDescent="0.35">
      <c r="A135" s="21">
        <v>46245</v>
      </c>
      <c r="B135">
        <v>35</v>
      </c>
      <c r="C135">
        <v>0</v>
      </c>
      <c r="D135">
        <f t="shared" si="16"/>
        <v>0</v>
      </c>
      <c r="E135">
        <f t="shared" si="17"/>
        <v>5.3726061436616235E-2</v>
      </c>
      <c r="F135">
        <f t="shared" si="18"/>
        <v>0</v>
      </c>
      <c r="G135" t="str">
        <f t="shared" si="19"/>
        <v>KONTROL İÇİNDE</v>
      </c>
    </row>
    <row r="136" spans="1:7" x14ac:dyDescent="0.35">
      <c r="A136" s="21">
        <v>46246</v>
      </c>
      <c r="B136">
        <v>175</v>
      </c>
      <c r="C136">
        <v>0</v>
      </c>
      <c r="D136">
        <f t="shared" si="16"/>
        <v>0</v>
      </c>
      <c r="E136">
        <f t="shared" si="17"/>
        <v>2.8529893996938917E-2</v>
      </c>
      <c r="F136">
        <f t="shared" si="18"/>
        <v>0</v>
      </c>
      <c r="G136" t="str">
        <f t="shared" si="19"/>
        <v>KONTROL İÇİNDE</v>
      </c>
    </row>
    <row r="137" spans="1:7" x14ac:dyDescent="0.35">
      <c r="A137" s="21">
        <v>46247</v>
      </c>
      <c r="B137">
        <v>9</v>
      </c>
      <c r="C137">
        <v>0</v>
      </c>
      <c r="D137">
        <f t="shared" si="16"/>
        <v>0</v>
      </c>
      <c r="E137">
        <f t="shared" si="17"/>
        <v>9.8031320444622011E-2</v>
      </c>
      <c r="F137">
        <f t="shared" si="18"/>
        <v>0</v>
      </c>
      <c r="G137" t="str">
        <f t="shared" si="19"/>
        <v>KONTROL İÇİNDE</v>
      </c>
    </row>
    <row r="138" spans="1:7" x14ac:dyDescent="0.35">
      <c r="A138" s="21">
        <v>46248</v>
      </c>
      <c r="B138">
        <v>30</v>
      </c>
      <c r="C138">
        <v>0</v>
      </c>
      <c r="D138">
        <f t="shared" si="16"/>
        <v>0</v>
      </c>
      <c r="E138">
        <f t="shared" si="17"/>
        <v>5.7378111919269684E-2</v>
      </c>
      <c r="F138">
        <f t="shared" si="18"/>
        <v>0</v>
      </c>
      <c r="G138" t="str">
        <f t="shared" si="19"/>
        <v>KONTROL İÇİNDE</v>
      </c>
    </row>
    <row r="139" spans="1:7" x14ac:dyDescent="0.35">
      <c r="A139" s="21">
        <v>46250</v>
      </c>
      <c r="B139">
        <v>2</v>
      </c>
      <c r="C139">
        <v>0</v>
      </c>
      <c r="D139">
        <f t="shared" si="16"/>
        <v>0</v>
      </c>
      <c r="E139">
        <f t="shared" si="17"/>
        <v>0.19882182084852079</v>
      </c>
      <c r="F139">
        <f t="shared" si="18"/>
        <v>0</v>
      </c>
      <c r="G139" t="str">
        <f t="shared" si="19"/>
        <v>KONTROL İÇİNDE</v>
      </c>
    </row>
    <row r="140" spans="1:7" x14ac:dyDescent="0.35">
      <c r="A140" s="21">
        <v>46251</v>
      </c>
      <c r="B140">
        <v>66</v>
      </c>
      <c r="C140">
        <v>0</v>
      </c>
      <c r="D140">
        <f t="shared" si="16"/>
        <v>0</v>
      </c>
      <c r="E140">
        <f t="shared" si="17"/>
        <v>4.133820695995559E-2</v>
      </c>
      <c r="F140">
        <f t="shared" si="18"/>
        <v>0</v>
      </c>
      <c r="G140" t="str">
        <f t="shared" si="19"/>
        <v>KONTROL İÇİNDE</v>
      </c>
    </row>
    <row r="141" spans="1:7" x14ac:dyDescent="0.35">
      <c r="A141" s="21">
        <v>46252</v>
      </c>
      <c r="B141">
        <v>47</v>
      </c>
      <c r="C141">
        <v>0</v>
      </c>
      <c r="D141">
        <f t="shared" si="16"/>
        <v>0</v>
      </c>
      <c r="E141">
        <f t="shared" si="17"/>
        <v>4.7479233098644033E-2</v>
      </c>
      <c r="F141">
        <f t="shared" si="18"/>
        <v>0</v>
      </c>
      <c r="G141" t="str">
        <f t="shared" si="19"/>
        <v>KONTROL İÇİNDE</v>
      </c>
    </row>
    <row r="142" spans="1:7" x14ac:dyDescent="0.35">
      <c r="A142" s="21">
        <v>46253</v>
      </c>
      <c r="B142">
        <v>21</v>
      </c>
      <c r="C142">
        <v>0</v>
      </c>
      <c r="D142">
        <f t="shared" si="16"/>
        <v>0</v>
      </c>
      <c r="E142">
        <f t="shared" si="17"/>
        <v>6.6989674279980579E-2</v>
      </c>
      <c r="F142">
        <f t="shared" si="18"/>
        <v>0</v>
      </c>
      <c r="G142" t="str">
        <f t="shared" si="19"/>
        <v>KONTROL İÇİNDE</v>
      </c>
    </row>
    <row r="143" spans="1:7" x14ac:dyDescent="0.35">
      <c r="A143" s="21">
        <v>46254</v>
      </c>
      <c r="B143">
        <v>25</v>
      </c>
      <c r="C143">
        <v>0</v>
      </c>
      <c r="D143">
        <f t="shared" si="16"/>
        <v>0</v>
      </c>
      <c r="E143">
        <f t="shared" si="17"/>
        <v>6.2077098804822511E-2</v>
      </c>
      <c r="F143">
        <f t="shared" si="18"/>
        <v>0</v>
      </c>
      <c r="G143" t="str">
        <f t="shared" si="19"/>
        <v>KONTROL İÇİNDE</v>
      </c>
    </row>
    <row r="144" spans="1:7" x14ac:dyDescent="0.35">
      <c r="A144" s="21">
        <v>46255</v>
      </c>
      <c r="B144">
        <v>209</v>
      </c>
      <c r="C144">
        <v>0</v>
      </c>
      <c r="D144">
        <f t="shared" si="16"/>
        <v>0</v>
      </c>
      <c r="E144">
        <f t="shared" si="17"/>
        <v>2.6798307704095206E-2</v>
      </c>
      <c r="F144">
        <f t="shared" si="18"/>
        <v>0</v>
      </c>
      <c r="G144" t="str">
        <f t="shared" si="19"/>
        <v>KONTROL İÇİNDE</v>
      </c>
    </row>
    <row r="145" spans="1:7" x14ac:dyDescent="0.35">
      <c r="A145" s="21">
        <v>46256</v>
      </c>
      <c r="B145">
        <v>23</v>
      </c>
      <c r="C145">
        <v>0</v>
      </c>
      <c r="D145">
        <f t="shared" si="16"/>
        <v>0</v>
      </c>
      <c r="E145">
        <f t="shared" si="17"/>
        <v>6.4373067280880686E-2</v>
      </c>
      <c r="F145">
        <f t="shared" si="18"/>
        <v>0</v>
      </c>
      <c r="G145" t="str">
        <f t="shared" si="19"/>
        <v>KONTROL İÇİNDE</v>
      </c>
    </row>
    <row r="146" spans="1:7" x14ac:dyDescent="0.35">
      <c r="A146" s="21">
        <v>46258</v>
      </c>
      <c r="B146">
        <v>42</v>
      </c>
      <c r="C146">
        <v>0</v>
      </c>
      <c r="D146">
        <f t="shared" si="16"/>
        <v>0</v>
      </c>
      <c r="E146">
        <f t="shared" si="17"/>
        <v>4.9754692677377768E-2</v>
      </c>
      <c r="F146">
        <f t="shared" si="18"/>
        <v>0</v>
      </c>
      <c r="G146" t="str">
        <f t="shared" si="19"/>
        <v>KONTROL İÇİNDE</v>
      </c>
    </row>
    <row r="147" spans="1:7" x14ac:dyDescent="0.35">
      <c r="A147" s="21">
        <v>46259</v>
      </c>
      <c r="B147">
        <v>17</v>
      </c>
      <c r="C147">
        <v>0</v>
      </c>
      <c r="D147">
        <f t="shared" si="16"/>
        <v>0</v>
      </c>
      <c r="E147">
        <f t="shared" si="17"/>
        <v>7.3547113480900414E-2</v>
      </c>
      <c r="F147">
        <f t="shared" si="18"/>
        <v>0</v>
      </c>
      <c r="G147" t="str">
        <f t="shared" si="19"/>
        <v>KONTROL İÇİNDE</v>
      </c>
    </row>
    <row r="148" spans="1:7" x14ac:dyDescent="0.35">
      <c r="A148" s="21">
        <v>46260</v>
      </c>
      <c r="B148">
        <v>46</v>
      </c>
      <c r="C148">
        <v>0</v>
      </c>
      <c r="D148">
        <f t="shared" si="16"/>
        <v>0</v>
      </c>
      <c r="E148">
        <f t="shared" si="17"/>
        <v>4.7904472124614045E-2</v>
      </c>
      <c r="F148">
        <f t="shared" si="18"/>
        <v>0</v>
      </c>
      <c r="G148" t="str">
        <f t="shared" si="19"/>
        <v>KONTROL İÇİNDE</v>
      </c>
    </row>
    <row r="149" spans="1:7" x14ac:dyDescent="0.35">
      <c r="A149" s="21">
        <v>46261</v>
      </c>
      <c r="B149">
        <v>160</v>
      </c>
      <c r="C149">
        <v>0</v>
      </c>
      <c r="D149">
        <f t="shared" si="16"/>
        <v>0</v>
      </c>
      <c r="E149">
        <f t="shared" si="17"/>
        <v>2.9463997322675847E-2</v>
      </c>
      <c r="F149">
        <f t="shared" si="18"/>
        <v>0</v>
      </c>
      <c r="G149" t="str">
        <f t="shared" si="19"/>
        <v>KONTROL İÇİNDE</v>
      </c>
    </row>
    <row r="150" spans="1:7" x14ac:dyDescent="0.35">
      <c r="A150" s="21">
        <v>46262</v>
      </c>
      <c r="B150">
        <v>57</v>
      </c>
      <c r="C150">
        <v>0</v>
      </c>
      <c r="D150">
        <f t="shared" si="16"/>
        <v>0</v>
      </c>
      <c r="E150">
        <f t="shared" si="17"/>
        <v>4.386266379637524E-2</v>
      </c>
      <c r="F150">
        <f t="shared" si="18"/>
        <v>0</v>
      </c>
      <c r="G150" t="str">
        <f t="shared" si="19"/>
        <v>KONTROL İÇİNDE</v>
      </c>
    </row>
    <row r="151" spans="1:7" x14ac:dyDescent="0.35">
      <c r="B151">
        <f>SUM(B2:B150)</f>
        <v>4665</v>
      </c>
      <c r="C151">
        <f>SUM(C2:C150)</f>
        <v>38</v>
      </c>
      <c r="D151">
        <f t="shared" si="16"/>
        <v>8.1457663451232586E-3</v>
      </c>
    </row>
  </sheetData>
  <conditionalFormatting sqref="G1:G1048576">
    <cfRule type="cellIs" dxfId="10" priority="1" operator="equal">
      <formula>$G$2</formula>
    </cfRule>
    <cfRule type="cellIs" dxfId="9" priority="7" operator="equal">
      <formula>#REF!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8"/>
  <sheetViews>
    <sheetView topLeftCell="I5" zoomScale="65" workbookViewId="0">
      <selection activeCell="P30" sqref="P30"/>
    </sheetView>
  </sheetViews>
  <sheetFormatPr defaultColWidth="21.6328125" defaultRowHeight="14.5" x14ac:dyDescent="0.35"/>
  <sheetData>
    <row r="1" spans="1:7" ht="30" customHeight="1" x14ac:dyDescent="0.35">
      <c r="A1" s="4" t="s">
        <v>21</v>
      </c>
      <c r="B1" s="3" t="s">
        <v>1</v>
      </c>
      <c r="C1" s="3" t="s">
        <v>2</v>
      </c>
      <c r="D1" s="12" t="s">
        <v>22</v>
      </c>
      <c r="E1" s="12" t="s">
        <v>4</v>
      </c>
      <c r="F1" s="12" t="s">
        <v>5</v>
      </c>
      <c r="G1" s="12" t="s">
        <v>6</v>
      </c>
    </row>
    <row r="2" spans="1:7" x14ac:dyDescent="0.35">
      <c r="A2" s="21">
        <v>46029</v>
      </c>
      <c r="B2">
        <v>2</v>
      </c>
      <c r="C2">
        <v>0</v>
      </c>
      <c r="D2" s="13">
        <f t="shared" ref="D2:D33" si="0">C2/B2</f>
        <v>0</v>
      </c>
      <c r="E2">
        <f t="shared" ref="E2:E33" si="1">$D$148+3*SQRT($D$148*(1-$D$148)/B2)</f>
        <v>0.15554613329231345</v>
      </c>
      <c r="F2">
        <f t="shared" ref="F2:F33" si="2">MAX(0,$D$148-3*SQRT($D$148*(1-$D$148)/B2))</f>
        <v>0</v>
      </c>
      <c r="G2" t="str">
        <f t="shared" ref="G2:G33" si="3">IF(AND(D2&lt;=E2,D2&gt;=F2),"KONTROL İÇİNDE"," KONTROL DIŞINDA")</f>
        <v>KONTROL İÇİNDE</v>
      </c>
    </row>
    <row r="3" spans="1:7" x14ac:dyDescent="0.35">
      <c r="A3" s="21">
        <v>46030</v>
      </c>
      <c r="B3">
        <v>34</v>
      </c>
      <c r="C3">
        <v>0</v>
      </c>
      <c r="D3" s="13">
        <f t="shared" si="0"/>
        <v>0</v>
      </c>
      <c r="E3">
        <f t="shared" si="1"/>
        <v>4.1556861436786982E-2</v>
      </c>
      <c r="F3">
        <f t="shared" si="2"/>
        <v>0</v>
      </c>
      <c r="G3" t="str">
        <f t="shared" si="3"/>
        <v>KONTROL İÇİNDE</v>
      </c>
    </row>
    <row r="4" spans="1:7" x14ac:dyDescent="0.35">
      <c r="A4" s="21">
        <v>46031</v>
      </c>
      <c r="B4">
        <v>1</v>
      </c>
      <c r="C4">
        <v>0</v>
      </c>
      <c r="D4" s="13">
        <f t="shared" si="0"/>
        <v>0</v>
      </c>
      <c r="E4">
        <f t="shared" si="1"/>
        <v>0.2178802890997831</v>
      </c>
      <c r="F4">
        <f t="shared" si="2"/>
        <v>0</v>
      </c>
      <c r="G4" t="str">
        <f t="shared" si="3"/>
        <v>KONTROL İÇİNDE</v>
      </c>
    </row>
    <row r="5" spans="1:7" x14ac:dyDescent="0.35">
      <c r="A5" s="21">
        <v>46035</v>
      </c>
      <c r="B5">
        <v>81</v>
      </c>
      <c r="C5">
        <v>0</v>
      </c>
      <c r="D5" s="13">
        <f t="shared" si="0"/>
        <v>0</v>
      </c>
      <c r="E5">
        <f t="shared" si="1"/>
        <v>2.870507118250273E-2</v>
      </c>
      <c r="F5">
        <f t="shared" si="2"/>
        <v>0</v>
      </c>
      <c r="G5" t="str">
        <f t="shared" si="3"/>
        <v>KONTROL İÇİNDE</v>
      </c>
    </row>
    <row r="6" spans="1:7" x14ac:dyDescent="0.35">
      <c r="A6" s="21">
        <v>46037</v>
      </c>
      <c r="B6">
        <v>6</v>
      </c>
      <c r="C6">
        <v>0</v>
      </c>
      <c r="D6" s="13">
        <f t="shared" si="0"/>
        <v>0</v>
      </c>
      <c r="E6">
        <f t="shared" si="1"/>
        <v>9.1942435669808448E-2</v>
      </c>
      <c r="F6">
        <f t="shared" si="2"/>
        <v>0</v>
      </c>
      <c r="G6" t="str">
        <f t="shared" si="3"/>
        <v>KONTROL İÇİNDE</v>
      </c>
    </row>
    <row r="7" spans="1:7" x14ac:dyDescent="0.35">
      <c r="A7" s="21">
        <v>46038</v>
      </c>
      <c r="B7">
        <v>5</v>
      </c>
      <c r="C7">
        <v>0</v>
      </c>
      <c r="D7" s="13">
        <f t="shared" si="0"/>
        <v>0</v>
      </c>
      <c r="E7">
        <f t="shared" si="1"/>
        <v>0.10023511450015209</v>
      </c>
      <c r="F7">
        <f t="shared" si="2"/>
        <v>0</v>
      </c>
      <c r="G7" t="str">
        <f t="shared" si="3"/>
        <v>KONTROL İÇİNDE</v>
      </c>
    </row>
    <row r="8" spans="1:7" x14ac:dyDescent="0.35">
      <c r="A8" s="21">
        <v>46041</v>
      </c>
      <c r="B8">
        <v>12</v>
      </c>
      <c r="C8">
        <v>0</v>
      </c>
      <c r="D8" s="13">
        <f t="shared" si="0"/>
        <v>0</v>
      </c>
      <c r="E8">
        <f t="shared" si="1"/>
        <v>6.6494623123900906E-2</v>
      </c>
      <c r="F8">
        <f t="shared" si="2"/>
        <v>0</v>
      </c>
      <c r="G8" t="str">
        <f t="shared" si="3"/>
        <v>KONTROL İÇİNDE</v>
      </c>
    </row>
    <row r="9" spans="1:7" x14ac:dyDescent="0.35">
      <c r="A9" s="21">
        <v>46043</v>
      </c>
      <c r="B9">
        <v>316</v>
      </c>
      <c r="C9">
        <v>2</v>
      </c>
      <c r="D9" s="13">
        <f t="shared" si="0"/>
        <v>6.3291139240506328E-3</v>
      </c>
      <c r="E9">
        <f t="shared" si="1"/>
        <v>1.7030348564742597E-2</v>
      </c>
      <c r="F9">
        <f t="shared" si="2"/>
        <v>0</v>
      </c>
      <c r="G9" t="str">
        <f t="shared" si="3"/>
        <v>KONTROL İÇİNDE</v>
      </c>
    </row>
    <row r="10" spans="1:7" x14ac:dyDescent="0.35">
      <c r="A10" s="21">
        <v>46045</v>
      </c>
      <c r="B10">
        <v>400</v>
      </c>
      <c r="C10">
        <v>1</v>
      </c>
      <c r="D10" s="13">
        <f t="shared" si="0"/>
        <v>2.5000000000000001E-3</v>
      </c>
      <c r="E10">
        <f t="shared" si="1"/>
        <v>1.569927495068971E-2</v>
      </c>
      <c r="F10">
        <f t="shared" si="2"/>
        <v>0</v>
      </c>
      <c r="G10" t="str">
        <f t="shared" si="3"/>
        <v>KONTROL İÇİNDE</v>
      </c>
    </row>
    <row r="11" spans="1:7" x14ac:dyDescent="0.35">
      <c r="A11" s="21">
        <v>46048</v>
      </c>
      <c r="B11">
        <v>2</v>
      </c>
      <c r="C11">
        <v>0</v>
      </c>
      <c r="D11" s="13">
        <f t="shared" si="0"/>
        <v>0</v>
      </c>
      <c r="E11">
        <f t="shared" si="1"/>
        <v>0.15554613329231345</v>
      </c>
      <c r="F11">
        <f t="shared" si="2"/>
        <v>0</v>
      </c>
      <c r="G11" t="str">
        <f t="shared" si="3"/>
        <v>KONTROL İÇİNDE</v>
      </c>
    </row>
    <row r="12" spans="1:7" x14ac:dyDescent="0.35">
      <c r="A12" s="21">
        <v>46050</v>
      </c>
      <c r="B12">
        <v>205</v>
      </c>
      <c r="C12">
        <v>1</v>
      </c>
      <c r="D12" s="13">
        <f t="shared" si="0"/>
        <v>4.8780487804878049E-3</v>
      </c>
      <c r="E12">
        <f t="shared" si="1"/>
        <v>1.9922310575594751E-2</v>
      </c>
      <c r="F12">
        <f t="shared" si="2"/>
        <v>0</v>
      </c>
      <c r="G12" t="str">
        <f t="shared" si="3"/>
        <v>KONTROL İÇİNDE</v>
      </c>
    </row>
    <row r="13" spans="1:7" x14ac:dyDescent="0.35">
      <c r="A13" s="21">
        <v>46052</v>
      </c>
      <c r="B13">
        <v>200</v>
      </c>
      <c r="C13">
        <v>1</v>
      </c>
      <c r="D13" s="13">
        <f t="shared" si="0"/>
        <v>5.0000000000000001E-3</v>
      </c>
      <c r="E13">
        <f t="shared" si="1"/>
        <v>2.0106965377789769E-2</v>
      </c>
      <c r="F13">
        <f t="shared" si="2"/>
        <v>0</v>
      </c>
      <c r="G13" t="str">
        <f t="shared" si="3"/>
        <v>KONTROL İÇİNDE</v>
      </c>
    </row>
    <row r="14" spans="1:7" x14ac:dyDescent="0.35">
      <c r="A14" s="21">
        <v>46055</v>
      </c>
      <c r="B14">
        <v>2</v>
      </c>
      <c r="C14">
        <v>0</v>
      </c>
      <c r="D14" s="13">
        <f t="shared" si="0"/>
        <v>0</v>
      </c>
      <c r="E14">
        <f t="shared" si="1"/>
        <v>0.15554613329231345</v>
      </c>
      <c r="F14">
        <f t="shared" si="2"/>
        <v>0</v>
      </c>
      <c r="G14" t="str">
        <f t="shared" si="3"/>
        <v>KONTROL İÇİNDE</v>
      </c>
    </row>
    <row r="15" spans="1:7" x14ac:dyDescent="0.35">
      <c r="A15" s="21">
        <v>46056</v>
      </c>
      <c r="B15">
        <v>1</v>
      </c>
      <c r="C15">
        <v>0</v>
      </c>
      <c r="D15" s="13">
        <f t="shared" si="0"/>
        <v>0</v>
      </c>
      <c r="E15">
        <f t="shared" si="1"/>
        <v>0.2178802890997831</v>
      </c>
      <c r="F15">
        <f t="shared" si="2"/>
        <v>0</v>
      </c>
      <c r="G15" t="str">
        <f t="shared" si="3"/>
        <v>KONTROL İÇİNDE</v>
      </c>
    </row>
    <row r="16" spans="1:7" x14ac:dyDescent="0.35">
      <c r="A16" s="21">
        <v>46057</v>
      </c>
      <c r="B16">
        <v>7</v>
      </c>
      <c r="C16">
        <v>0</v>
      </c>
      <c r="D16" s="13">
        <f t="shared" si="0"/>
        <v>0</v>
      </c>
      <c r="E16">
        <f t="shared" si="1"/>
        <v>8.54973694326671E-2</v>
      </c>
      <c r="F16">
        <f t="shared" si="2"/>
        <v>0</v>
      </c>
      <c r="G16" t="str">
        <f t="shared" si="3"/>
        <v>KONTROL İÇİNDE</v>
      </c>
    </row>
    <row r="17" spans="1:7" x14ac:dyDescent="0.35">
      <c r="A17" s="21">
        <v>46058</v>
      </c>
      <c r="B17">
        <v>6</v>
      </c>
      <c r="C17">
        <v>0</v>
      </c>
      <c r="D17" s="13">
        <f t="shared" si="0"/>
        <v>0</v>
      </c>
      <c r="E17">
        <f t="shared" si="1"/>
        <v>9.1942435669808448E-2</v>
      </c>
      <c r="F17">
        <f t="shared" si="2"/>
        <v>0</v>
      </c>
      <c r="G17" t="str">
        <f t="shared" si="3"/>
        <v>KONTROL İÇİNDE</v>
      </c>
    </row>
    <row r="18" spans="1:7" x14ac:dyDescent="0.35">
      <c r="A18" s="21">
        <v>46059</v>
      </c>
      <c r="B18">
        <v>7</v>
      </c>
      <c r="C18">
        <v>0</v>
      </c>
      <c r="D18" s="13">
        <f t="shared" si="0"/>
        <v>0</v>
      </c>
      <c r="E18">
        <f t="shared" si="1"/>
        <v>8.54973694326671E-2</v>
      </c>
      <c r="F18">
        <f t="shared" si="2"/>
        <v>0</v>
      </c>
      <c r="G18" t="str">
        <f t="shared" si="3"/>
        <v>KONTROL İÇİNDE</v>
      </c>
    </row>
    <row r="19" spans="1:7" x14ac:dyDescent="0.35">
      <c r="A19" s="21">
        <v>46062</v>
      </c>
      <c r="B19">
        <v>25</v>
      </c>
      <c r="C19">
        <v>0</v>
      </c>
      <c r="D19" s="13">
        <f t="shared" si="0"/>
        <v>0</v>
      </c>
      <c r="E19">
        <f t="shared" si="1"/>
        <v>4.7622592974230771E-2</v>
      </c>
      <c r="F19">
        <f t="shared" si="2"/>
        <v>0</v>
      </c>
      <c r="G19" t="str">
        <f t="shared" si="3"/>
        <v>KONTROL İÇİNDE</v>
      </c>
    </row>
    <row r="20" spans="1:7" x14ac:dyDescent="0.35">
      <c r="A20" s="21">
        <v>46063</v>
      </c>
      <c r="B20">
        <v>4</v>
      </c>
      <c r="C20">
        <v>0</v>
      </c>
      <c r="D20" s="13">
        <f t="shared" si="0"/>
        <v>0</v>
      </c>
      <c r="E20">
        <f t="shared" si="1"/>
        <v>0.1114692290213129</v>
      </c>
      <c r="F20">
        <f t="shared" si="2"/>
        <v>0</v>
      </c>
      <c r="G20" t="str">
        <f t="shared" si="3"/>
        <v>KONTROL İÇİNDE</v>
      </c>
    </row>
    <row r="21" spans="1:7" x14ac:dyDescent="0.35">
      <c r="A21" s="21">
        <v>46064</v>
      </c>
      <c r="B21">
        <v>2</v>
      </c>
      <c r="C21">
        <v>0</v>
      </c>
      <c r="D21" s="13">
        <f t="shared" si="0"/>
        <v>0</v>
      </c>
      <c r="E21">
        <f t="shared" si="1"/>
        <v>0.15554613329231345</v>
      </c>
      <c r="F21">
        <f t="shared" si="2"/>
        <v>0</v>
      </c>
      <c r="G21" t="str">
        <f t="shared" si="3"/>
        <v>KONTROL İÇİNDE</v>
      </c>
    </row>
    <row r="22" spans="1:7" x14ac:dyDescent="0.35">
      <c r="A22" s="21">
        <v>46065</v>
      </c>
      <c r="B22">
        <v>86</v>
      </c>
      <c r="C22">
        <v>1</v>
      </c>
      <c r="D22" s="13">
        <f t="shared" si="0"/>
        <v>1.1627906976744186E-2</v>
      </c>
      <c r="E22">
        <f t="shared" si="1"/>
        <v>2.8007368358400963E-2</v>
      </c>
      <c r="F22">
        <f t="shared" si="2"/>
        <v>0</v>
      </c>
      <c r="G22" t="str">
        <f t="shared" si="3"/>
        <v>KONTROL İÇİNDE</v>
      </c>
    </row>
    <row r="23" spans="1:7" x14ac:dyDescent="0.35">
      <c r="A23" s="21">
        <v>46066</v>
      </c>
      <c r="B23">
        <v>16</v>
      </c>
      <c r="C23">
        <v>0</v>
      </c>
      <c r="D23" s="13">
        <f t="shared" si="0"/>
        <v>0</v>
      </c>
      <c r="E23">
        <f t="shared" si="1"/>
        <v>5.8263698982077797E-2</v>
      </c>
      <c r="F23">
        <f t="shared" si="2"/>
        <v>0</v>
      </c>
      <c r="G23" t="str">
        <f t="shared" si="3"/>
        <v>KONTROL İÇİNDE</v>
      </c>
    </row>
    <row r="24" spans="1:7" x14ac:dyDescent="0.35">
      <c r="A24" s="21">
        <v>46069</v>
      </c>
      <c r="B24">
        <v>7</v>
      </c>
      <c r="C24">
        <v>0</v>
      </c>
      <c r="D24" s="13">
        <f t="shared" si="0"/>
        <v>0</v>
      </c>
      <c r="E24">
        <f t="shared" si="1"/>
        <v>8.54973694326671E-2</v>
      </c>
      <c r="F24">
        <f t="shared" si="2"/>
        <v>0</v>
      </c>
      <c r="G24" t="str">
        <f t="shared" si="3"/>
        <v>KONTROL İÇİNDE</v>
      </c>
    </row>
    <row r="25" spans="1:7" x14ac:dyDescent="0.35">
      <c r="A25" s="21">
        <v>46070</v>
      </c>
      <c r="B25">
        <v>11</v>
      </c>
      <c r="C25">
        <v>0</v>
      </c>
      <c r="D25" s="13">
        <f t="shared" si="0"/>
        <v>0</v>
      </c>
      <c r="E25">
        <f t="shared" si="1"/>
        <v>6.9226452547252154E-2</v>
      </c>
      <c r="F25">
        <f t="shared" si="2"/>
        <v>0</v>
      </c>
      <c r="G25" t="str">
        <f t="shared" si="3"/>
        <v>KONTROL İÇİNDE</v>
      </c>
    </row>
    <row r="26" spans="1:7" x14ac:dyDescent="0.35">
      <c r="A26" s="21">
        <v>46071</v>
      </c>
      <c r="B26">
        <v>6</v>
      </c>
      <c r="C26">
        <v>0</v>
      </c>
      <c r="D26" s="13">
        <f t="shared" si="0"/>
        <v>0</v>
      </c>
      <c r="E26">
        <f t="shared" si="1"/>
        <v>9.1942435669808448E-2</v>
      </c>
      <c r="F26">
        <f t="shared" si="2"/>
        <v>0</v>
      </c>
      <c r="G26" t="str">
        <f t="shared" si="3"/>
        <v>KONTROL İÇİNDE</v>
      </c>
    </row>
    <row r="27" spans="1:7" x14ac:dyDescent="0.35">
      <c r="A27" s="21">
        <v>46072</v>
      </c>
      <c r="B27">
        <v>8</v>
      </c>
      <c r="C27">
        <v>0</v>
      </c>
      <c r="D27" s="13">
        <f t="shared" si="0"/>
        <v>0</v>
      </c>
      <c r="E27">
        <f t="shared" si="1"/>
        <v>8.0302151117578074E-2</v>
      </c>
      <c r="F27">
        <f t="shared" si="2"/>
        <v>0</v>
      </c>
      <c r="G27" t="str">
        <f t="shared" si="3"/>
        <v>KONTROL İÇİNDE</v>
      </c>
    </row>
    <row r="28" spans="1:7" x14ac:dyDescent="0.35">
      <c r="A28" s="21">
        <v>46076</v>
      </c>
      <c r="B28">
        <v>12</v>
      </c>
      <c r="C28">
        <v>0</v>
      </c>
      <c r="D28" s="13">
        <f t="shared" si="0"/>
        <v>0</v>
      </c>
      <c r="E28">
        <f t="shared" si="1"/>
        <v>6.6494623123900906E-2</v>
      </c>
      <c r="F28">
        <f t="shared" si="2"/>
        <v>0</v>
      </c>
      <c r="G28" t="str">
        <f t="shared" si="3"/>
        <v>KONTROL İÇİNDE</v>
      </c>
    </row>
    <row r="29" spans="1:7" x14ac:dyDescent="0.35">
      <c r="A29" s="21">
        <v>46077</v>
      </c>
      <c r="B29">
        <v>5</v>
      </c>
      <c r="C29">
        <v>0</v>
      </c>
      <c r="D29" s="13">
        <f t="shared" si="0"/>
        <v>0</v>
      </c>
      <c r="E29">
        <f t="shared" si="1"/>
        <v>0.10023511450015209</v>
      </c>
      <c r="F29">
        <f t="shared" si="2"/>
        <v>0</v>
      </c>
      <c r="G29" t="str">
        <f t="shared" si="3"/>
        <v>KONTROL İÇİNDE</v>
      </c>
    </row>
    <row r="30" spans="1:7" x14ac:dyDescent="0.35">
      <c r="A30" s="21">
        <v>46078</v>
      </c>
      <c r="B30">
        <v>3</v>
      </c>
      <c r="C30">
        <v>0</v>
      </c>
      <c r="D30" s="13">
        <f t="shared" si="0"/>
        <v>0</v>
      </c>
      <c r="E30">
        <f t="shared" si="1"/>
        <v>0.12793107730495912</v>
      </c>
      <c r="F30">
        <f t="shared" si="2"/>
        <v>0</v>
      </c>
      <c r="G30" t="str">
        <f t="shared" si="3"/>
        <v>KONTROL İÇİNDE</v>
      </c>
    </row>
    <row r="31" spans="1:7" x14ac:dyDescent="0.35">
      <c r="A31" s="21">
        <v>46079</v>
      </c>
      <c r="B31">
        <v>2</v>
      </c>
      <c r="C31">
        <v>0</v>
      </c>
      <c r="D31" s="13">
        <f t="shared" si="0"/>
        <v>0</v>
      </c>
      <c r="E31">
        <f t="shared" si="1"/>
        <v>0.15554613329231345</v>
      </c>
      <c r="F31">
        <f t="shared" si="2"/>
        <v>0</v>
      </c>
      <c r="G31" t="str">
        <f t="shared" si="3"/>
        <v>KONTROL İÇİNDE</v>
      </c>
    </row>
    <row r="32" spans="1:7" x14ac:dyDescent="0.35">
      <c r="A32" s="21">
        <v>46081</v>
      </c>
      <c r="B32">
        <v>28</v>
      </c>
      <c r="C32">
        <v>0</v>
      </c>
      <c r="D32" s="13">
        <f t="shared" si="0"/>
        <v>0</v>
      </c>
      <c r="E32">
        <f t="shared" si="1"/>
        <v>4.527776918775489E-2</v>
      </c>
      <c r="F32">
        <f t="shared" si="2"/>
        <v>0</v>
      </c>
      <c r="G32" t="str">
        <f t="shared" si="3"/>
        <v>KONTROL İÇİNDE</v>
      </c>
    </row>
    <row r="33" spans="1:7" x14ac:dyDescent="0.35">
      <c r="A33" s="21">
        <v>46083</v>
      </c>
      <c r="B33">
        <v>2</v>
      </c>
      <c r="C33">
        <v>0</v>
      </c>
      <c r="D33" s="13">
        <f t="shared" si="0"/>
        <v>0</v>
      </c>
      <c r="E33">
        <f t="shared" si="1"/>
        <v>0.15554613329231345</v>
      </c>
      <c r="F33">
        <f t="shared" si="2"/>
        <v>0</v>
      </c>
      <c r="G33" t="str">
        <f t="shared" si="3"/>
        <v>KONTROL İÇİNDE</v>
      </c>
    </row>
    <row r="34" spans="1:7" x14ac:dyDescent="0.35">
      <c r="A34" s="21">
        <v>46084</v>
      </c>
      <c r="B34">
        <v>133</v>
      </c>
      <c r="C34">
        <v>1</v>
      </c>
      <c r="D34" s="13">
        <f t="shared" ref="D34:D65" si="4">C34/B34</f>
        <v>7.5187969924812026E-3</v>
      </c>
      <c r="E34">
        <f t="shared" ref="E34:E65" si="5">$D$148+3*SQRT($D$148*(1-$D$148)/B34)</f>
        <v>2.351218715517701E-2</v>
      </c>
      <c r="F34">
        <f t="shared" ref="F34:F65" si="6">MAX(0,$D$148-3*SQRT($D$148*(1-$D$148)/B34))</f>
        <v>0</v>
      </c>
      <c r="G34" t="str">
        <f t="shared" ref="G34:G65" si="7">IF(AND(D34&lt;=E34,D34&gt;=F34),"KONTROL İÇİNDE"," KONTROL DIŞINDA")</f>
        <v>KONTROL İÇİNDE</v>
      </c>
    </row>
    <row r="35" spans="1:7" x14ac:dyDescent="0.35">
      <c r="A35" s="21">
        <v>46086</v>
      </c>
      <c r="B35">
        <v>5</v>
      </c>
      <c r="C35">
        <v>0</v>
      </c>
      <c r="D35" s="13">
        <f t="shared" si="4"/>
        <v>0</v>
      </c>
      <c r="E35">
        <f t="shared" si="5"/>
        <v>0.10023511450015209</v>
      </c>
      <c r="F35">
        <f t="shared" si="6"/>
        <v>0</v>
      </c>
      <c r="G35" t="str">
        <f t="shared" si="7"/>
        <v>KONTROL İÇİNDE</v>
      </c>
    </row>
    <row r="36" spans="1:7" x14ac:dyDescent="0.35">
      <c r="A36" s="21">
        <v>46087</v>
      </c>
      <c r="B36">
        <v>2</v>
      </c>
      <c r="C36">
        <v>0</v>
      </c>
      <c r="D36" s="13">
        <f t="shared" si="4"/>
        <v>0</v>
      </c>
      <c r="E36">
        <f t="shared" si="5"/>
        <v>0.15554613329231345</v>
      </c>
      <c r="F36">
        <f t="shared" si="6"/>
        <v>0</v>
      </c>
      <c r="G36" t="str">
        <f t="shared" si="7"/>
        <v>KONTROL İÇİNDE</v>
      </c>
    </row>
    <row r="37" spans="1:7" x14ac:dyDescent="0.35">
      <c r="A37" s="21">
        <v>46090</v>
      </c>
      <c r="B37">
        <v>2</v>
      </c>
      <c r="C37">
        <v>0</v>
      </c>
      <c r="D37" s="13">
        <f t="shared" si="4"/>
        <v>0</v>
      </c>
      <c r="E37">
        <f t="shared" si="5"/>
        <v>0.15554613329231345</v>
      </c>
      <c r="F37">
        <f t="shared" si="6"/>
        <v>0</v>
      </c>
      <c r="G37" t="str">
        <f t="shared" si="7"/>
        <v>KONTROL İÇİNDE</v>
      </c>
    </row>
    <row r="38" spans="1:7" x14ac:dyDescent="0.35">
      <c r="A38" s="21">
        <v>46091</v>
      </c>
      <c r="B38">
        <v>2</v>
      </c>
      <c r="C38">
        <v>0</v>
      </c>
      <c r="D38" s="13">
        <f t="shared" si="4"/>
        <v>0</v>
      </c>
      <c r="E38">
        <f t="shared" si="5"/>
        <v>0.15554613329231345</v>
      </c>
      <c r="F38">
        <f t="shared" si="6"/>
        <v>0</v>
      </c>
      <c r="G38" t="str">
        <f t="shared" si="7"/>
        <v>KONTROL İÇİNDE</v>
      </c>
    </row>
    <row r="39" spans="1:7" x14ac:dyDescent="0.35">
      <c r="A39" s="21">
        <v>46092</v>
      </c>
      <c r="B39">
        <v>9</v>
      </c>
      <c r="C39">
        <v>0</v>
      </c>
      <c r="D39" s="13">
        <f t="shared" si="4"/>
        <v>0</v>
      </c>
      <c r="E39">
        <f t="shared" si="5"/>
        <v>7.5998875661822826E-2</v>
      </c>
      <c r="F39">
        <f t="shared" si="6"/>
        <v>0</v>
      </c>
      <c r="G39" t="str">
        <f t="shared" si="7"/>
        <v>KONTROL İÇİNDE</v>
      </c>
    </row>
    <row r="40" spans="1:7" x14ac:dyDescent="0.35">
      <c r="A40" s="21">
        <v>46093</v>
      </c>
      <c r="B40">
        <v>23</v>
      </c>
      <c r="C40">
        <v>0</v>
      </c>
      <c r="D40" s="13">
        <f t="shared" si="4"/>
        <v>0</v>
      </c>
      <c r="E40">
        <f t="shared" si="5"/>
        <v>4.9434648625751476E-2</v>
      </c>
      <c r="F40">
        <f t="shared" si="6"/>
        <v>0</v>
      </c>
      <c r="G40" t="str">
        <f t="shared" si="7"/>
        <v>KONTROL İÇİNDE</v>
      </c>
    </row>
    <row r="41" spans="1:7" x14ac:dyDescent="0.35">
      <c r="A41" s="21">
        <v>46094</v>
      </c>
      <c r="B41">
        <v>1</v>
      </c>
      <c r="C41">
        <v>0</v>
      </c>
      <c r="D41" s="13">
        <f t="shared" si="4"/>
        <v>0</v>
      </c>
      <c r="E41">
        <f t="shared" si="5"/>
        <v>0.2178802890997831</v>
      </c>
      <c r="F41">
        <f t="shared" si="6"/>
        <v>0</v>
      </c>
      <c r="G41" t="str">
        <f t="shared" si="7"/>
        <v>KONTROL İÇİNDE</v>
      </c>
    </row>
    <row r="42" spans="1:7" x14ac:dyDescent="0.35">
      <c r="A42" s="21">
        <v>46096</v>
      </c>
      <c r="B42">
        <v>1</v>
      </c>
      <c r="C42">
        <v>0</v>
      </c>
      <c r="D42" s="13">
        <f t="shared" si="4"/>
        <v>0</v>
      </c>
      <c r="E42">
        <f t="shared" si="5"/>
        <v>0.2178802890997831</v>
      </c>
      <c r="F42">
        <f t="shared" si="6"/>
        <v>0</v>
      </c>
      <c r="G42" t="str">
        <f t="shared" si="7"/>
        <v>KONTROL İÇİNDE</v>
      </c>
    </row>
    <row r="43" spans="1:7" x14ac:dyDescent="0.35">
      <c r="A43" s="21">
        <v>46097</v>
      </c>
      <c r="B43">
        <v>33</v>
      </c>
      <c r="C43">
        <v>0</v>
      </c>
      <c r="D43" s="13">
        <f t="shared" si="4"/>
        <v>0</v>
      </c>
      <c r="E43">
        <f t="shared" si="5"/>
        <v>4.2105744755284752E-2</v>
      </c>
      <c r="F43">
        <f t="shared" si="6"/>
        <v>0</v>
      </c>
      <c r="G43" t="str">
        <f t="shared" si="7"/>
        <v>KONTROL İÇİNDE</v>
      </c>
    </row>
    <row r="44" spans="1:7" x14ac:dyDescent="0.35">
      <c r="A44" s="21">
        <v>46098</v>
      </c>
      <c r="B44">
        <v>17</v>
      </c>
      <c r="C44">
        <v>0</v>
      </c>
      <c r="D44" s="13">
        <f t="shared" si="4"/>
        <v>0</v>
      </c>
      <c r="E44">
        <f t="shared" si="5"/>
        <v>5.6675114876663782E-2</v>
      </c>
      <c r="F44">
        <f t="shared" si="6"/>
        <v>0</v>
      </c>
      <c r="G44" t="str">
        <f t="shared" si="7"/>
        <v>KONTROL İÇİNDE</v>
      </c>
    </row>
    <row r="45" spans="1:7" x14ac:dyDescent="0.35">
      <c r="A45" s="21">
        <v>46099</v>
      </c>
      <c r="B45">
        <v>30</v>
      </c>
      <c r="C45">
        <v>0</v>
      </c>
      <c r="D45" s="13">
        <f t="shared" si="4"/>
        <v>0</v>
      </c>
      <c r="E45">
        <f t="shared" si="5"/>
        <v>4.3913994258186415E-2</v>
      </c>
      <c r="F45">
        <f t="shared" si="6"/>
        <v>0</v>
      </c>
      <c r="G45" t="str">
        <f t="shared" si="7"/>
        <v>KONTROL İÇİNDE</v>
      </c>
    </row>
    <row r="46" spans="1:7" x14ac:dyDescent="0.35">
      <c r="A46" s="21">
        <v>46101</v>
      </c>
      <c r="B46">
        <v>1</v>
      </c>
      <c r="C46">
        <v>0</v>
      </c>
      <c r="D46" s="13">
        <f t="shared" si="4"/>
        <v>0</v>
      </c>
      <c r="E46">
        <f t="shared" si="5"/>
        <v>0.2178802890997831</v>
      </c>
      <c r="F46">
        <f t="shared" si="6"/>
        <v>0</v>
      </c>
      <c r="G46" t="str">
        <f t="shared" si="7"/>
        <v>KONTROL İÇİNDE</v>
      </c>
    </row>
    <row r="47" spans="1:7" x14ac:dyDescent="0.35">
      <c r="A47" s="21">
        <v>46105</v>
      </c>
      <c r="B47">
        <v>100</v>
      </c>
      <c r="C47">
        <v>1</v>
      </c>
      <c r="D47" s="13">
        <f t="shared" si="4"/>
        <v>0.01</v>
      </c>
      <c r="E47">
        <f t="shared" si="5"/>
        <v>2.6340380958536729E-2</v>
      </c>
      <c r="F47">
        <f t="shared" si="6"/>
        <v>0</v>
      </c>
      <c r="G47" t="str">
        <f t="shared" si="7"/>
        <v>KONTROL İÇİNDE</v>
      </c>
    </row>
    <row r="48" spans="1:7" x14ac:dyDescent="0.35">
      <c r="A48" s="21">
        <v>46106</v>
      </c>
      <c r="B48">
        <v>55</v>
      </c>
      <c r="C48">
        <v>0</v>
      </c>
      <c r="D48" s="13">
        <f t="shared" si="4"/>
        <v>0</v>
      </c>
      <c r="E48">
        <f t="shared" si="5"/>
        <v>3.3755097770631654E-2</v>
      </c>
      <c r="F48">
        <f t="shared" si="6"/>
        <v>0</v>
      </c>
      <c r="G48" t="str">
        <f t="shared" si="7"/>
        <v>KONTROL İÇİNDE</v>
      </c>
    </row>
    <row r="49" spans="1:7" x14ac:dyDescent="0.35">
      <c r="A49" s="21">
        <v>46107</v>
      </c>
      <c r="B49">
        <v>1</v>
      </c>
      <c r="C49">
        <v>0</v>
      </c>
      <c r="D49" s="13">
        <f t="shared" si="4"/>
        <v>0</v>
      </c>
      <c r="E49">
        <f t="shared" si="5"/>
        <v>0.2178802890997831</v>
      </c>
      <c r="F49">
        <f t="shared" si="6"/>
        <v>0</v>
      </c>
      <c r="G49" t="str">
        <f t="shared" si="7"/>
        <v>KONTROL İÇİNDE</v>
      </c>
    </row>
    <row r="50" spans="1:7" x14ac:dyDescent="0.35">
      <c r="A50" s="21">
        <v>46108</v>
      </c>
      <c r="B50">
        <v>23</v>
      </c>
      <c r="C50">
        <v>0</v>
      </c>
      <c r="D50" s="13">
        <f t="shared" si="4"/>
        <v>0</v>
      </c>
      <c r="E50">
        <f t="shared" si="5"/>
        <v>4.9434648625751476E-2</v>
      </c>
      <c r="F50">
        <f t="shared" si="6"/>
        <v>0</v>
      </c>
      <c r="G50" t="str">
        <f t="shared" si="7"/>
        <v>KONTROL İÇİNDE</v>
      </c>
    </row>
    <row r="51" spans="1:7" x14ac:dyDescent="0.35">
      <c r="A51" s="21">
        <v>46111</v>
      </c>
      <c r="B51">
        <v>2</v>
      </c>
      <c r="C51">
        <v>0</v>
      </c>
      <c r="D51" s="13">
        <f t="shared" si="4"/>
        <v>0</v>
      </c>
      <c r="E51">
        <f t="shared" si="5"/>
        <v>0.15554613329231345</v>
      </c>
      <c r="F51">
        <f t="shared" si="6"/>
        <v>0</v>
      </c>
      <c r="G51" t="str">
        <f t="shared" si="7"/>
        <v>KONTROL İÇİNDE</v>
      </c>
    </row>
    <row r="52" spans="1:7" x14ac:dyDescent="0.35">
      <c r="A52" s="21">
        <v>46112</v>
      </c>
      <c r="B52">
        <v>400</v>
      </c>
      <c r="C52">
        <v>3</v>
      </c>
      <c r="D52" s="13">
        <f t="shared" si="4"/>
        <v>7.4999999999999997E-3</v>
      </c>
      <c r="E52">
        <f t="shared" si="5"/>
        <v>1.569927495068971E-2</v>
      </c>
      <c r="F52">
        <f t="shared" si="6"/>
        <v>0</v>
      </c>
      <c r="G52" t="str">
        <f t="shared" si="7"/>
        <v>KONTROL İÇİNDE</v>
      </c>
    </row>
    <row r="53" spans="1:7" x14ac:dyDescent="0.35">
      <c r="A53" s="21">
        <v>46113</v>
      </c>
      <c r="B53">
        <v>2</v>
      </c>
      <c r="C53">
        <v>0</v>
      </c>
      <c r="D53" s="13">
        <f t="shared" si="4"/>
        <v>0</v>
      </c>
      <c r="E53">
        <f t="shared" si="5"/>
        <v>0.15554613329231345</v>
      </c>
      <c r="F53">
        <f t="shared" si="6"/>
        <v>0</v>
      </c>
      <c r="G53" t="str">
        <f t="shared" si="7"/>
        <v>KONTROL İÇİNDE</v>
      </c>
    </row>
    <row r="54" spans="1:7" x14ac:dyDescent="0.35">
      <c r="A54" s="21">
        <v>46115</v>
      </c>
      <c r="B54">
        <v>8</v>
      </c>
      <c r="C54">
        <v>0</v>
      </c>
      <c r="D54" s="13">
        <f t="shared" si="4"/>
        <v>0</v>
      </c>
      <c r="E54">
        <f t="shared" si="5"/>
        <v>8.0302151117578074E-2</v>
      </c>
      <c r="F54">
        <f t="shared" si="6"/>
        <v>0</v>
      </c>
      <c r="G54" t="str">
        <f t="shared" si="7"/>
        <v>KONTROL İÇİNDE</v>
      </c>
    </row>
    <row r="55" spans="1:7" x14ac:dyDescent="0.35">
      <c r="A55" s="21">
        <v>46118</v>
      </c>
      <c r="B55">
        <v>2</v>
      </c>
      <c r="C55">
        <v>0</v>
      </c>
      <c r="D55" s="13">
        <f t="shared" si="4"/>
        <v>0</v>
      </c>
      <c r="E55">
        <f t="shared" si="5"/>
        <v>0.15554613329231345</v>
      </c>
      <c r="F55">
        <f t="shared" si="6"/>
        <v>0</v>
      </c>
      <c r="G55" t="str">
        <f t="shared" si="7"/>
        <v>KONTROL İÇİNDE</v>
      </c>
    </row>
    <row r="56" spans="1:7" x14ac:dyDescent="0.35">
      <c r="A56" s="21">
        <v>46119</v>
      </c>
      <c r="B56">
        <v>14</v>
      </c>
      <c r="C56">
        <v>0</v>
      </c>
      <c r="D56" s="13">
        <f t="shared" si="4"/>
        <v>0</v>
      </c>
      <c r="E56">
        <f t="shared" si="5"/>
        <v>6.1937273082421793E-2</v>
      </c>
      <c r="F56">
        <f t="shared" si="6"/>
        <v>0</v>
      </c>
      <c r="G56" t="str">
        <f t="shared" si="7"/>
        <v>KONTROL İÇİNDE</v>
      </c>
    </row>
    <row r="57" spans="1:7" x14ac:dyDescent="0.35">
      <c r="A57" s="21">
        <v>46120</v>
      </c>
      <c r="B57">
        <v>8</v>
      </c>
      <c r="C57">
        <v>0</v>
      </c>
      <c r="D57" s="13">
        <f t="shared" si="4"/>
        <v>0</v>
      </c>
      <c r="E57">
        <f t="shared" si="5"/>
        <v>8.0302151117578074E-2</v>
      </c>
      <c r="F57">
        <f t="shared" si="6"/>
        <v>0</v>
      </c>
      <c r="G57" t="str">
        <f t="shared" si="7"/>
        <v>KONTROL İÇİNDE</v>
      </c>
    </row>
    <row r="58" spans="1:7" x14ac:dyDescent="0.35">
      <c r="A58" s="21">
        <v>46121</v>
      </c>
      <c r="B58">
        <v>25</v>
      </c>
      <c r="C58">
        <v>0</v>
      </c>
      <c r="D58" s="13">
        <f t="shared" si="4"/>
        <v>0</v>
      </c>
      <c r="E58">
        <f t="shared" si="5"/>
        <v>4.7622592974230771E-2</v>
      </c>
      <c r="F58">
        <f t="shared" si="6"/>
        <v>0</v>
      </c>
      <c r="G58" t="str">
        <f t="shared" si="7"/>
        <v>KONTROL İÇİNDE</v>
      </c>
    </row>
    <row r="59" spans="1:7" x14ac:dyDescent="0.35">
      <c r="A59" s="21">
        <v>46122</v>
      </c>
      <c r="B59">
        <v>1</v>
      </c>
      <c r="C59">
        <v>0</v>
      </c>
      <c r="D59" s="13">
        <f t="shared" si="4"/>
        <v>0</v>
      </c>
      <c r="E59">
        <f t="shared" si="5"/>
        <v>0.2178802890997831</v>
      </c>
      <c r="F59">
        <f t="shared" si="6"/>
        <v>0</v>
      </c>
      <c r="G59" t="str">
        <f t="shared" si="7"/>
        <v>KONTROL İÇİNDE</v>
      </c>
    </row>
    <row r="60" spans="1:7" x14ac:dyDescent="0.35">
      <c r="A60" s="21">
        <v>46125</v>
      </c>
      <c r="B60">
        <v>43</v>
      </c>
      <c r="C60">
        <v>0</v>
      </c>
      <c r="D60" s="13">
        <f t="shared" si="4"/>
        <v>0</v>
      </c>
      <c r="E60">
        <f t="shared" si="5"/>
        <v>3.7513238001929905E-2</v>
      </c>
      <c r="F60">
        <f t="shared" si="6"/>
        <v>0</v>
      </c>
      <c r="G60" t="str">
        <f t="shared" si="7"/>
        <v>KONTROL İÇİNDE</v>
      </c>
    </row>
    <row r="61" spans="1:7" x14ac:dyDescent="0.35">
      <c r="A61" s="21">
        <v>46126</v>
      </c>
      <c r="B61">
        <v>14</v>
      </c>
      <c r="C61">
        <v>0</v>
      </c>
      <c r="D61" s="13">
        <f t="shared" si="4"/>
        <v>0</v>
      </c>
      <c r="E61">
        <f t="shared" si="5"/>
        <v>6.1937273082421793E-2</v>
      </c>
      <c r="F61">
        <f t="shared" si="6"/>
        <v>0</v>
      </c>
      <c r="G61" t="str">
        <f t="shared" si="7"/>
        <v>KONTROL İÇİNDE</v>
      </c>
    </row>
    <row r="62" spans="1:7" x14ac:dyDescent="0.35">
      <c r="A62" s="21">
        <v>46127</v>
      </c>
      <c r="B62">
        <v>5</v>
      </c>
      <c r="C62">
        <v>0</v>
      </c>
      <c r="D62" s="13">
        <f t="shared" si="4"/>
        <v>0</v>
      </c>
      <c r="E62">
        <f t="shared" si="5"/>
        <v>0.10023511450015209</v>
      </c>
      <c r="F62">
        <f t="shared" si="6"/>
        <v>0</v>
      </c>
      <c r="G62" t="str">
        <f t="shared" si="7"/>
        <v>KONTROL İÇİNDE</v>
      </c>
    </row>
    <row r="63" spans="1:7" x14ac:dyDescent="0.35">
      <c r="A63" s="21">
        <v>46128</v>
      </c>
      <c r="B63">
        <v>53</v>
      </c>
      <c r="C63">
        <v>0</v>
      </c>
      <c r="D63" s="13">
        <f t="shared" si="4"/>
        <v>0</v>
      </c>
      <c r="E63">
        <f t="shared" si="5"/>
        <v>3.4291535388355679E-2</v>
      </c>
      <c r="F63">
        <f t="shared" si="6"/>
        <v>0</v>
      </c>
      <c r="G63" t="str">
        <f t="shared" si="7"/>
        <v>KONTROL İÇİNDE</v>
      </c>
    </row>
    <row r="64" spans="1:7" x14ac:dyDescent="0.35">
      <c r="A64" s="21">
        <v>46132</v>
      </c>
      <c r="B64">
        <v>8</v>
      </c>
      <c r="C64">
        <v>0</v>
      </c>
      <c r="D64" s="13">
        <f t="shared" si="4"/>
        <v>0</v>
      </c>
      <c r="E64">
        <f t="shared" si="5"/>
        <v>8.0302151117578074E-2</v>
      </c>
      <c r="F64">
        <f t="shared" si="6"/>
        <v>0</v>
      </c>
      <c r="G64" t="str">
        <f t="shared" si="7"/>
        <v>KONTROL İÇİNDE</v>
      </c>
    </row>
    <row r="65" spans="1:7" x14ac:dyDescent="0.35">
      <c r="A65" s="21">
        <v>46133</v>
      </c>
      <c r="B65">
        <v>19</v>
      </c>
      <c r="C65">
        <v>0</v>
      </c>
      <c r="D65" s="13">
        <f t="shared" si="4"/>
        <v>0</v>
      </c>
      <c r="E65">
        <f t="shared" si="5"/>
        <v>5.3882911822536045E-2</v>
      </c>
      <c r="F65">
        <f t="shared" si="6"/>
        <v>0</v>
      </c>
      <c r="G65" t="str">
        <f t="shared" si="7"/>
        <v>KONTROL İÇİNDE</v>
      </c>
    </row>
    <row r="66" spans="1:7" x14ac:dyDescent="0.35">
      <c r="A66" s="21">
        <v>46134</v>
      </c>
      <c r="B66">
        <v>2</v>
      </c>
      <c r="C66">
        <v>0</v>
      </c>
      <c r="D66" s="13">
        <f t="shared" ref="D66:D97" si="8">C66/B66</f>
        <v>0</v>
      </c>
      <c r="E66">
        <f t="shared" ref="E66:E97" si="9">$D$148+3*SQRT($D$148*(1-$D$148)/B66)</f>
        <v>0.15554613329231345</v>
      </c>
      <c r="F66">
        <f t="shared" ref="F66:F97" si="10">MAX(0,$D$148-3*SQRT($D$148*(1-$D$148)/B66))</f>
        <v>0</v>
      </c>
      <c r="G66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46136</v>
      </c>
      <c r="B67">
        <v>51</v>
      </c>
      <c r="C67">
        <v>0</v>
      </c>
      <c r="D67" s="13">
        <f t="shared" si="8"/>
        <v>0</v>
      </c>
      <c r="E67">
        <f t="shared" si="9"/>
        <v>3.485922657248066E-2</v>
      </c>
      <c r="F67">
        <f t="shared" si="10"/>
        <v>0</v>
      </c>
      <c r="G67" t="str">
        <f t="shared" si="11"/>
        <v>KONTROL İÇİNDE</v>
      </c>
    </row>
    <row r="68" spans="1:7" x14ac:dyDescent="0.35">
      <c r="A68" s="21">
        <v>46139</v>
      </c>
      <c r="B68">
        <v>22</v>
      </c>
      <c r="C68">
        <v>0</v>
      </c>
      <c r="D68" s="13">
        <f t="shared" si="8"/>
        <v>0</v>
      </c>
      <c r="E68">
        <f t="shared" si="9"/>
        <v>5.0431997416622187E-2</v>
      </c>
      <c r="F68">
        <f t="shared" si="10"/>
        <v>0</v>
      </c>
      <c r="G68" t="str">
        <f t="shared" si="11"/>
        <v>KONTROL İÇİNDE</v>
      </c>
    </row>
    <row r="69" spans="1:7" x14ac:dyDescent="0.35">
      <c r="A69" s="21">
        <v>46140</v>
      </c>
      <c r="B69">
        <v>75</v>
      </c>
      <c r="C69">
        <v>0</v>
      </c>
      <c r="D69" s="13">
        <f t="shared" si="8"/>
        <v>0</v>
      </c>
      <c r="E69">
        <f t="shared" si="9"/>
        <v>2.9632750615265976E-2</v>
      </c>
      <c r="F69">
        <f t="shared" si="10"/>
        <v>0</v>
      </c>
      <c r="G69" t="str">
        <f t="shared" si="11"/>
        <v>KONTROL İÇİNDE</v>
      </c>
    </row>
    <row r="70" spans="1:7" x14ac:dyDescent="0.35">
      <c r="A70" s="21">
        <v>46141</v>
      </c>
      <c r="B70">
        <v>200</v>
      </c>
      <c r="C70">
        <v>2</v>
      </c>
      <c r="D70" s="13">
        <f t="shared" si="8"/>
        <v>0.01</v>
      </c>
      <c r="E70">
        <f t="shared" si="9"/>
        <v>2.0106965377789769E-2</v>
      </c>
      <c r="F70">
        <f t="shared" si="10"/>
        <v>0</v>
      </c>
      <c r="G70" t="str">
        <f t="shared" si="11"/>
        <v>KONTROL İÇİNDE</v>
      </c>
    </row>
    <row r="71" spans="1:7" x14ac:dyDescent="0.35">
      <c r="A71" s="21">
        <v>46142</v>
      </c>
      <c r="B71">
        <v>8</v>
      </c>
      <c r="C71">
        <v>0</v>
      </c>
      <c r="D71" s="13">
        <f t="shared" si="8"/>
        <v>0</v>
      </c>
      <c r="E71">
        <f t="shared" si="9"/>
        <v>8.0302151117578074E-2</v>
      </c>
      <c r="F71">
        <f t="shared" si="10"/>
        <v>0</v>
      </c>
      <c r="G71" t="str">
        <f t="shared" si="11"/>
        <v>KONTROL İÇİNDE</v>
      </c>
    </row>
    <row r="72" spans="1:7" x14ac:dyDescent="0.35">
      <c r="A72" s="21">
        <v>46147</v>
      </c>
      <c r="B72">
        <v>1</v>
      </c>
      <c r="C72">
        <v>0</v>
      </c>
      <c r="D72" s="13">
        <f t="shared" si="8"/>
        <v>0</v>
      </c>
      <c r="E72">
        <f t="shared" si="9"/>
        <v>0.2178802890997831</v>
      </c>
      <c r="F72">
        <f t="shared" si="10"/>
        <v>0</v>
      </c>
      <c r="G72" t="str">
        <f t="shared" si="11"/>
        <v>KONTROL İÇİNDE</v>
      </c>
    </row>
    <row r="73" spans="1:7" x14ac:dyDescent="0.35">
      <c r="A73" s="21">
        <v>46148</v>
      </c>
      <c r="B73">
        <v>5</v>
      </c>
      <c r="C73">
        <v>0</v>
      </c>
      <c r="D73" s="13">
        <f t="shared" si="8"/>
        <v>0</v>
      </c>
      <c r="E73">
        <f t="shared" si="9"/>
        <v>0.10023511450015209</v>
      </c>
      <c r="F73">
        <f t="shared" si="10"/>
        <v>0</v>
      </c>
      <c r="G73" t="str">
        <f t="shared" si="11"/>
        <v>KONTROL İÇİNDE</v>
      </c>
    </row>
    <row r="74" spans="1:7" x14ac:dyDescent="0.35">
      <c r="A74" s="21">
        <v>46149</v>
      </c>
      <c r="B74">
        <v>6</v>
      </c>
      <c r="C74">
        <v>0</v>
      </c>
      <c r="D74" s="13">
        <f t="shared" si="8"/>
        <v>0</v>
      </c>
      <c r="E74">
        <f t="shared" si="9"/>
        <v>9.1942435669808448E-2</v>
      </c>
      <c r="F74">
        <f t="shared" si="10"/>
        <v>0</v>
      </c>
      <c r="G74" t="str">
        <f t="shared" si="11"/>
        <v>KONTROL İÇİNDE</v>
      </c>
    </row>
    <row r="75" spans="1:7" x14ac:dyDescent="0.35">
      <c r="A75" s="21">
        <v>46150</v>
      </c>
      <c r="B75">
        <v>2</v>
      </c>
      <c r="C75">
        <v>0</v>
      </c>
      <c r="D75" s="13">
        <f t="shared" si="8"/>
        <v>0</v>
      </c>
      <c r="E75">
        <f t="shared" si="9"/>
        <v>0.15554613329231345</v>
      </c>
      <c r="F75">
        <f t="shared" si="10"/>
        <v>0</v>
      </c>
      <c r="G75" t="str">
        <f t="shared" si="11"/>
        <v>KONTROL İÇİNDE</v>
      </c>
    </row>
    <row r="76" spans="1:7" x14ac:dyDescent="0.35">
      <c r="A76" s="21">
        <v>46153</v>
      </c>
      <c r="B76">
        <v>1</v>
      </c>
      <c r="C76">
        <v>0</v>
      </c>
      <c r="D76" s="13">
        <f t="shared" si="8"/>
        <v>0</v>
      </c>
      <c r="E76">
        <f t="shared" si="9"/>
        <v>0.2178802890997831</v>
      </c>
      <c r="F76">
        <f t="shared" si="10"/>
        <v>0</v>
      </c>
      <c r="G76" t="str">
        <f t="shared" si="11"/>
        <v>KONTROL İÇİNDE</v>
      </c>
    </row>
    <row r="77" spans="1:7" x14ac:dyDescent="0.35">
      <c r="A77" s="21">
        <v>46156</v>
      </c>
      <c r="B77">
        <v>70</v>
      </c>
      <c r="C77">
        <v>0</v>
      </c>
      <c r="D77" s="13">
        <f t="shared" si="8"/>
        <v>0</v>
      </c>
      <c r="E77">
        <f t="shared" si="9"/>
        <v>3.0495277613920402E-2</v>
      </c>
      <c r="F77">
        <f t="shared" si="10"/>
        <v>0</v>
      </c>
      <c r="G77" t="str">
        <f t="shared" si="11"/>
        <v>KONTROL İÇİNDE</v>
      </c>
    </row>
    <row r="78" spans="1:7" x14ac:dyDescent="0.35">
      <c r="A78" s="21">
        <v>46160</v>
      </c>
      <c r="B78">
        <v>3</v>
      </c>
      <c r="C78">
        <v>0</v>
      </c>
      <c r="D78" s="13">
        <f t="shared" si="8"/>
        <v>0</v>
      </c>
      <c r="E78">
        <f t="shared" si="9"/>
        <v>0.12793107730495912</v>
      </c>
      <c r="F78">
        <f t="shared" si="10"/>
        <v>0</v>
      </c>
      <c r="G78" t="str">
        <f t="shared" si="11"/>
        <v>KONTROL İÇİNDE</v>
      </c>
    </row>
    <row r="79" spans="1:7" x14ac:dyDescent="0.35">
      <c r="A79" s="21">
        <v>46163</v>
      </c>
      <c r="B79">
        <v>2</v>
      </c>
      <c r="C79">
        <v>0</v>
      </c>
      <c r="D79" s="13">
        <f t="shared" si="8"/>
        <v>0</v>
      </c>
      <c r="E79">
        <f t="shared" si="9"/>
        <v>0.15554613329231345</v>
      </c>
      <c r="F79">
        <f t="shared" si="10"/>
        <v>0</v>
      </c>
      <c r="G79" t="str">
        <f t="shared" si="11"/>
        <v>KONTROL İÇİNDE</v>
      </c>
    </row>
    <row r="80" spans="1:7" x14ac:dyDescent="0.35">
      <c r="A80" s="21">
        <v>46176</v>
      </c>
      <c r="B80">
        <v>8</v>
      </c>
      <c r="C80">
        <v>0</v>
      </c>
      <c r="D80" s="13">
        <f t="shared" si="8"/>
        <v>0</v>
      </c>
      <c r="E80">
        <f t="shared" si="9"/>
        <v>8.0302151117578074E-2</v>
      </c>
      <c r="F80">
        <f t="shared" si="10"/>
        <v>0</v>
      </c>
      <c r="G80" t="str">
        <f t="shared" si="11"/>
        <v>KONTROL İÇİNDE</v>
      </c>
    </row>
    <row r="81" spans="1:7" x14ac:dyDescent="0.35">
      <c r="A81" s="21">
        <v>46177</v>
      </c>
      <c r="B81">
        <v>18</v>
      </c>
      <c r="C81">
        <v>0</v>
      </c>
      <c r="D81" s="13">
        <f t="shared" si="8"/>
        <v>0</v>
      </c>
      <c r="E81">
        <f t="shared" si="9"/>
        <v>5.5220823725999624E-2</v>
      </c>
      <c r="F81">
        <f t="shared" si="10"/>
        <v>0</v>
      </c>
      <c r="G81" t="str">
        <f t="shared" si="11"/>
        <v>KONTROL İÇİNDE</v>
      </c>
    </row>
    <row r="82" spans="1:7" x14ac:dyDescent="0.35">
      <c r="A82" s="21">
        <v>46178</v>
      </c>
      <c r="B82">
        <v>6</v>
      </c>
      <c r="C82">
        <v>0</v>
      </c>
      <c r="D82" s="13">
        <f t="shared" si="8"/>
        <v>0</v>
      </c>
      <c r="E82">
        <f t="shared" si="9"/>
        <v>9.1942435669808448E-2</v>
      </c>
      <c r="F82">
        <f t="shared" si="10"/>
        <v>0</v>
      </c>
      <c r="G82" t="str">
        <f t="shared" si="11"/>
        <v>KONTROL İÇİNDE</v>
      </c>
    </row>
    <row r="83" spans="1:7" x14ac:dyDescent="0.35">
      <c r="A83" s="21">
        <v>46181</v>
      </c>
      <c r="B83">
        <v>35</v>
      </c>
      <c r="C83">
        <v>0</v>
      </c>
      <c r="D83" s="13">
        <f t="shared" si="8"/>
        <v>0</v>
      </c>
      <c r="E83">
        <f t="shared" si="9"/>
        <v>4.1031673013039047E-2</v>
      </c>
      <c r="F83">
        <f t="shared" si="10"/>
        <v>0</v>
      </c>
      <c r="G83" t="str">
        <f t="shared" si="11"/>
        <v>KONTROL İÇİNDE</v>
      </c>
    </row>
    <row r="84" spans="1:7" x14ac:dyDescent="0.35">
      <c r="A84" s="21">
        <v>46182</v>
      </c>
      <c r="B84">
        <v>13</v>
      </c>
      <c r="C84">
        <v>0</v>
      </c>
      <c r="D84" s="13">
        <f t="shared" si="8"/>
        <v>0</v>
      </c>
      <c r="E84">
        <f t="shared" si="9"/>
        <v>6.408440484890475E-2</v>
      </c>
      <c r="F84">
        <f t="shared" si="10"/>
        <v>0</v>
      </c>
      <c r="G84" t="str">
        <f t="shared" si="11"/>
        <v>KONTROL İÇİNDE</v>
      </c>
    </row>
    <row r="85" spans="1:7" x14ac:dyDescent="0.35">
      <c r="A85" s="21">
        <v>46183</v>
      </c>
      <c r="B85">
        <v>67</v>
      </c>
      <c r="C85">
        <v>0</v>
      </c>
      <c r="D85" s="13">
        <f t="shared" si="8"/>
        <v>0</v>
      </c>
      <c r="E85">
        <f t="shared" si="9"/>
        <v>3.1058529109146926E-2</v>
      </c>
      <c r="F85">
        <f t="shared" si="10"/>
        <v>0</v>
      </c>
      <c r="G85" t="str">
        <f t="shared" si="11"/>
        <v>KONTROL İÇİNDE</v>
      </c>
    </row>
    <row r="86" spans="1:7" x14ac:dyDescent="0.35">
      <c r="A86" s="21">
        <v>46184</v>
      </c>
      <c r="B86">
        <v>147</v>
      </c>
      <c r="C86">
        <v>1</v>
      </c>
      <c r="D86" s="13">
        <f t="shared" si="8"/>
        <v>6.8027210884353739E-3</v>
      </c>
      <c r="E86">
        <f t="shared" si="9"/>
        <v>2.2611441566002179E-2</v>
      </c>
      <c r="F86">
        <f t="shared" si="10"/>
        <v>0</v>
      </c>
      <c r="G86" t="str">
        <f t="shared" si="11"/>
        <v>KONTROL İÇİNDE</v>
      </c>
    </row>
    <row r="87" spans="1:7" x14ac:dyDescent="0.35">
      <c r="A87" s="21">
        <v>46185</v>
      </c>
      <c r="B87">
        <v>4</v>
      </c>
      <c r="C87">
        <v>0</v>
      </c>
      <c r="D87" s="13">
        <f t="shared" si="8"/>
        <v>0</v>
      </c>
      <c r="E87">
        <f t="shared" si="9"/>
        <v>0.1114692290213129</v>
      </c>
      <c r="F87">
        <f t="shared" si="10"/>
        <v>0</v>
      </c>
      <c r="G87" t="str">
        <f t="shared" si="11"/>
        <v>KONTROL İÇİNDE</v>
      </c>
    </row>
    <row r="88" spans="1:7" x14ac:dyDescent="0.35">
      <c r="A88" s="21">
        <v>46186</v>
      </c>
      <c r="B88">
        <v>300</v>
      </c>
      <c r="C88">
        <v>2</v>
      </c>
      <c r="D88" s="13">
        <f t="shared" si="8"/>
        <v>6.6666666666666671E-3</v>
      </c>
      <c r="E88">
        <f t="shared" si="9"/>
        <v>1.7345459779054336E-2</v>
      </c>
      <c r="F88">
        <f t="shared" si="10"/>
        <v>0</v>
      </c>
      <c r="G88" t="str">
        <f t="shared" si="11"/>
        <v>KONTROL İÇİNDE</v>
      </c>
    </row>
    <row r="89" spans="1:7" x14ac:dyDescent="0.35">
      <c r="A89" s="21">
        <v>46188</v>
      </c>
      <c r="B89">
        <v>5</v>
      </c>
      <c r="C89">
        <v>0</v>
      </c>
      <c r="D89" s="13">
        <f t="shared" si="8"/>
        <v>0</v>
      </c>
      <c r="E89">
        <f t="shared" si="9"/>
        <v>0.10023511450015209</v>
      </c>
      <c r="F89">
        <f t="shared" si="10"/>
        <v>0</v>
      </c>
      <c r="G89" t="str">
        <f t="shared" si="11"/>
        <v>KONTROL İÇİNDE</v>
      </c>
    </row>
    <row r="90" spans="1:7" x14ac:dyDescent="0.35">
      <c r="A90" s="21">
        <v>46189</v>
      </c>
      <c r="B90">
        <v>19</v>
      </c>
      <c r="C90">
        <v>0</v>
      </c>
      <c r="D90" s="13">
        <f t="shared" si="8"/>
        <v>0</v>
      </c>
      <c r="E90">
        <f t="shared" si="9"/>
        <v>5.3882911822536045E-2</v>
      </c>
      <c r="F90">
        <f t="shared" si="10"/>
        <v>0</v>
      </c>
      <c r="G90" t="str">
        <f t="shared" si="11"/>
        <v>KONTROL İÇİNDE</v>
      </c>
    </row>
    <row r="91" spans="1:7" x14ac:dyDescent="0.35">
      <c r="A91" s="21">
        <v>46190</v>
      </c>
      <c r="B91">
        <v>9</v>
      </c>
      <c r="C91">
        <v>0</v>
      </c>
      <c r="D91" s="13">
        <f t="shared" si="8"/>
        <v>0</v>
      </c>
      <c r="E91">
        <f t="shared" si="9"/>
        <v>7.5998875661822826E-2</v>
      </c>
      <c r="F91">
        <f t="shared" si="10"/>
        <v>0</v>
      </c>
      <c r="G91" t="str">
        <f t="shared" si="11"/>
        <v>KONTROL İÇİNDE</v>
      </c>
    </row>
    <row r="92" spans="1:7" x14ac:dyDescent="0.35">
      <c r="A92" s="21">
        <v>46191</v>
      </c>
      <c r="B92">
        <v>7</v>
      </c>
      <c r="C92">
        <v>0</v>
      </c>
      <c r="D92" s="13">
        <f t="shared" si="8"/>
        <v>0</v>
      </c>
      <c r="E92">
        <f t="shared" si="9"/>
        <v>8.54973694326671E-2</v>
      </c>
      <c r="F92">
        <f t="shared" si="10"/>
        <v>0</v>
      </c>
      <c r="G92" t="str">
        <f t="shared" si="11"/>
        <v>KONTROL İÇİNDE</v>
      </c>
    </row>
    <row r="93" spans="1:7" x14ac:dyDescent="0.35">
      <c r="A93" s="21">
        <v>46192</v>
      </c>
      <c r="B93">
        <v>30</v>
      </c>
      <c r="C93">
        <v>0</v>
      </c>
      <c r="D93" s="13">
        <f t="shared" si="8"/>
        <v>0</v>
      </c>
      <c r="E93">
        <f t="shared" si="9"/>
        <v>4.3913994258186415E-2</v>
      </c>
      <c r="F93">
        <f t="shared" si="10"/>
        <v>0</v>
      </c>
      <c r="G93" t="str">
        <f t="shared" si="11"/>
        <v>KONTROL İÇİNDE</v>
      </c>
    </row>
    <row r="94" spans="1:7" x14ac:dyDescent="0.35">
      <c r="A94" s="21">
        <v>46195</v>
      </c>
      <c r="B94">
        <v>3</v>
      </c>
      <c r="C94">
        <v>0</v>
      </c>
      <c r="D94" s="13">
        <f t="shared" si="8"/>
        <v>0</v>
      </c>
      <c r="E94">
        <f t="shared" si="9"/>
        <v>0.12793107730495912</v>
      </c>
      <c r="F94">
        <f t="shared" si="10"/>
        <v>0</v>
      </c>
      <c r="G94" t="str">
        <f t="shared" si="11"/>
        <v>KONTROL İÇİNDE</v>
      </c>
    </row>
    <row r="95" spans="1:7" x14ac:dyDescent="0.35">
      <c r="A95" s="21">
        <v>46196</v>
      </c>
      <c r="B95">
        <v>68</v>
      </c>
      <c r="C95">
        <v>0</v>
      </c>
      <c r="D95" s="13">
        <f t="shared" si="8"/>
        <v>0</v>
      </c>
      <c r="E95">
        <f t="shared" si="9"/>
        <v>3.0866641909753238E-2</v>
      </c>
      <c r="F95">
        <f t="shared" si="10"/>
        <v>0</v>
      </c>
      <c r="G95" t="str">
        <f t="shared" si="11"/>
        <v>KONTROL İÇİNDE</v>
      </c>
    </row>
    <row r="96" spans="1:7" x14ac:dyDescent="0.35">
      <c r="A96" s="21">
        <v>46197</v>
      </c>
      <c r="B96">
        <v>12</v>
      </c>
      <c r="C96">
        <v>0</v>
      </c>
      <c r="D96" s="13">
        <f t="shared" si="8"/>
        <v>0</v>
      </c>
      <c r="E96">
        <f t="shared" si="9"/>
        <v>6.6494623123900906E-2</v>
      </c>
      <c r="F96">
        <f t="shared" si="10"/>
        <v>0</v>
      </c>
      <c r="G96" t="str">
        <f t="shared" si="11"/>
        <v>KONTROL İÇİNDE</v>
      </c>
    </row>
    <row r="97" spans="1:7" x14ac:dyDescent="0.35">
      <c r="A97" s="21">
        <v>46198</v>
      </c>
      <c r="B97">
        <v>47</v>
      </c>
      <c r="C97">
        <v>0</v>
      </c>
      <c r="D97" s="13">
        <f t="shared" si="8"/>
        <v>0</v>
      </c>
      <c r="E97">
        <f t="shared" si="9"/>
        <v>3.61014656900987E-2</v>
      </c>
      <c r="F97">
        <f t="shared" si="10"/>
        <v>0</v>
      </c>
      <c r="G97" t="str">
        <f t="shared" si="11"/>
        <v>KONTROL İÇİNDE</v>
      </c>
    </row>
    <row r="98" spans="1:7" x14ac:dyDescent="0.35">
      <c r="A98" s="21">
        <v>46199</v>
      </c>
      <c r="B98">
        <v>3</v>
      </c>
      <c r="C98">
        <v>0</v>
      </c>
      <c r="D98" s="13">
        <f t="shared" ref="D98:D129" si="12">C98/B98</f>
        <v>0</v>
      </c>
      <c r="E98">
        <f t="shared" ref="E98:E129" si="13">$D$148+3*SQRT($D$148*(1-$D$148)/B98)</f>
        <v>0.12793107730495912</v>
      </c>
      <c r="F98">
        <f t="shared" ref="F98:F129" si="14">MAX(0,$D$148-3*SQRT($D$148*(1-$D$148)/B98))</f>
        <v>0</v>
      </c>
      <c r="G98" t="str">
        <f t="shared" ref="G98:G129" si="15">IF(AND(D98&lt;=E98,D98&gt;=F98),"KONTROL İÇİNDE"," KONTROL DIŞINDA")</f>
        <v>KONTROL İÇİNDE</v>
      </c>
    </row>
    <row r="99" spans="1:7" x14ac:dyDescent="0.35">
      <c r="A99" s="21">
        <v>46203</v>
      </c>
      <c r="B99">
        <v>12</v>
      </c>
      <c r="C99">
        <v>0</v>
      </c>
      <c r="D99" s="13">
        <f t="shared" si="12"/>
        <v>0</v>
      </c>
      <c r="E99">
        <f t="shared" si="13"/>
        <v>6.6494623123900906E-2</v>
      </c>
      <c r="F99">
        <f t="shared" si="14"/>
        <v>0</v>
      </c>
      <c r="G99" t="str">
        <f t="shared" si="15"/>
        <v>KONTROL İÇİNDE</v>
      </c>
    </row>
    <row r="100" spans="1:7" x14ac:dyDescent="0.35">
      <c r="A100" s="21">
        <v>46205</v>
      </c>
      <c r="B100">
        <v>16</v>
      </c>
      <c r="C100">
        <v>0</v>
      </c>
      <c r="D100" s="13">
        <f t="shared" si="12"/>
        <v>0</v>
      </c>
      <c r="E100">
        <f t="shared" si="13"/>
        <v>5.8263698982077797E-2</v>
      </c>
      <c r="F100">
        <f t="shared" si="14"/>
        <v>0</v>
      </c>
      <c r="G100" t="str">
        <f t="shared" si="15"/>
        <v>KONTROL İÇİNDE</v>
      </c>
    </row>
    <row r="101" spans="1:7" x14ac:dyDescent="0.35">
      <c r="A101" s="21">
        <v>46206</v>
      </c>
      <c r="B101">
        <v>27</v>
      </c>
      <c r="C101">
        <v>0</v>
      </c>
      <c r="D101" s="13">
        <f t="shared" si="12"/>
        <v>0</v>
      </c>
      <c r="E101">
        <f t="shared" si="13"/>
        <v>4.601580506354816E-2</v>
      </c>
      <c r="F101">
        <f t="shared" si="14"/>
        <v>0</v>
      </c>
      <c r="G101" t="str">
        <f t="shared" si="15"/>
        <v>KONTROL İÇİNDE</v>
      </c>
    </row>
    <row r="102" spans="1:7" x14ac:dyDescent="0.35">
      <c r="A102" s="21">
        <v>46207</v>
      </c>
      <c r="B102">
        <v>224</v>
      </c>
      <c r="C102">
        <v>2</v>
      </c>
      <c r="D102" s="13">
        <f t="shared" si="12"/>
        <v>8.9285714285714281E-3</v>
      </c>
      <c r="E102">
        <f t="shared" si="13"/>
        <v>1.9277944977737466E-2</v>
      </c>
      <c r="F102">
        <f t="shared" si="14"/>
        <v>0</v>
      </c>
      <c r="G102" t="str">
        <f t="shared" si="15"/>
        <v>KONTROL İÇİNDE</v>
      </c>
    </row>
    <row r="103" spans="1:7" x14ac:dyDescent="0.35">
      <c r="A103" s="21">
        <v>46209</v>
      </c>
      <c r="B103">
        <v>24</v>
      </c>
      <c r="C103">
        <v>0</v>
      </c>
      <c r="D103" s="13">
        <f t="shared" si="12"/>
        <v>0</v>
      </c>
      <c r="E103">
        <f t="shared" si="13"/>
        <v>4.8500302306325571E-2</v>
      </c>
      <c r="F103">
        <f t="shared" si="14"/>
        <v>0</v>
      </c>
      <c r="G103" t="str">
        <f t="shared" si="15"/>
        <v>KONTROL İÇİNDE</v>
      </c>
    </row>
    <row r="104" spans="1:7" x14ac:dyDescent="0.35">
      <c r="A104" s="21">
        <v>46210</v>
      </c>
      <c r="B104">
        <v>11</v>
      </c>
      <c r="C104">
        <v>0</v>
      </c>
      <c r="D104" s="13">
        <f t="shared" si="12"/>
        <v>0</v>
      </c>
      <c r="E104">
        <f t="shared" si="13"/>
        <v>6.9226452547252154E-2</v>
      </c>
      <c r="F104">
        <f t="shared" si="14"/>
        <v>0</v>
      </c>
      <c r="G104" t="str">
        <f t="shared" si="15"/>
        <v>KONTROL İÇİNDE</v>
      </c>
    </row>
    <row r="105" spans="1:7" x14ac:dyDescent="0.35">
      <c r="A105" s="21">
        <v>46211</v>
      </c>
      <c r="B105">
        <v>60</v>
      </c>
      <c r="C105">
        <v>0</v>
      </c>
      <c r="D105" s="13">
        <f t="shared" si="12"/>
        <v>0</v>
      </c>
      <c r="E105">
        <f t="shared" si="13"/>
        <v>3.2533386511922155E-2</v>
      </c>
      <c r="F105">
        <f t="shared" si="14"/>
        <v>0</v>
      </c>
      <c r="G105" t="str">
        <f t="shared" si="15"/>
        <v>KONTROL İÇİNDE</v>
      </c>
    </row>
    <row r="106" spans="1:7" x14ac:dyDescent="0.35">
      <c r="A106" s="21">
        <v>46212</v>
      </c>
      <c r="B106">
        <v>41</v>
      </c>
      <c r="C106">
        <v>0</v>
      </c>
      <c r="D106" s="13">
        <f t="shared" si="12"/>
        <v>0</v>
      </c>
      <c r="E106">
        <f t="shared" si="13"/>
        <v>3.8295400060861004E-2</v>
      </c>
      <c r="F106">
        <f t="shared" si="14"/>
        <v>0</v>
      </c>
      <c r="G106" t="str">
        <f t="shared" si="15"/>
        <v>KONTROL İÇİNDE</v>
      </c>
    </row>
    <row r="107" spans="1:7" x14ac:dyDescent="0.35">
      <c r="A107" s="21">
        <v>46213</v>
      </c>
      <c r="B107">
        <v>4</v>
      </c>
      <c r="C107">
        <v>0</v>
      </c>
      <c r="D107" s="13">
        <f t="shared" si="12"/>
        <v>0</v>
      </c>
      <c r="E107">
        <f t="shared" si="13"/>
        <v>0.1114692290213129</v>
      </c>
      <c r="F107">
        <f t="shared" si="14"/>
        <v>0</v>
      </c>
      <c r="G107" t="str">
        <f t="shared" si="15"/>
        <v>KONTROL İÇİNDE</v>
      </c>
    </row>
    <row r="108" spans="1:7" x14ac:dyDescent="0.35">
      <c r="A108" s="21">
        <v>46216</v>
      </c>
      <c r="B108">
        <v>3</v>
      </c>
      <c r="C108">
        <v>0</v>
      </c>
      <c r="D108" s="13">
        <f t="shared" si="12"/>
        <v>0</v>
      </c>
      <c r="E108">
        <f t="shared" si="13"/>
        <v>0.12793107730495912</v>
      </c>
      <c r="F108">
        <f t="shared" si="14"/>
        <v>0</v>
      </c>
      <c r="G108" t="str">
        <f t="shared" si="15"/>
        <v>KONTROL İÇİNDE</v>
      </c>
    </row>
    <row r="109" spans="1:7" x14ac:dyDescent="0.35">
      <c r="A109" s="21">
        <v>46217</v>
      </c>
      <c r="B109">
        <v>8</v>
      </c>
      <c r="C109">
        <v>0</v>
      </c>
      <c r="D109" s="13">
        <f t="shared" si="12"/>
        <v>0</v>
      </c>
      <c r="E109">
        <f t="shared" si="13"/>
        <v>8.0302151117578074E-2</v>
      </c>
      <c r="F109">
        <f t="shared" si="14"/>
        <v>0</v>
      </c>
      <c r="G109" t="str">
        <f t="shared" si="15"/>
        <v>KONTROL İÇİNDE</v>
      </c>
    </row>
    <row r="110" spans="1:7" x14ac:dyDescent="0.35">
      <c r="A110" s="21">
        <v>46219</v>
      </c>
      <c r="B110">
        <v>40</v>
      </c>
      <c r="C110">
        <v>0</v>
      </c>
      <c r="D110" s="13">
        <f t="shared" si="12"/>
        <v>0</v>
      </c>
      <c r="E110">
        <f t="shared" si="13"/>
        <v>3.8708300750940852E-2</v>
      </c>
      <c r="F110">
        <f t="shared" si="14"/>
        <v>0</v>
      </c>
      <c r="G110" t="str">
        <f t="shared" si="15"/>
        <v>KONTROL İÇİNDE</v>
      </c>
    </row>
    <row r="111" spans="1:7" x14ac:dyDescent="0.35">
      <c r="A111" s="21">
        <v>46220</v>
      </c>
      <c r="B111">
        <v>9</v>
      </c>
      <c r="C111">
        <v>0</v>
      </c>
      <c r="D111" s="13">
        <f t="shared" si="12"/>
        <v>0</v>
      </c>
      <c r="E111">
        <f t="shared" si="13"/>
        <v>7.5998875661822826E-2</v>
      </c>
      <c r="F111">
        <f t="shared" si="14"/>
        <v>0</v>
      </c>
      <c r="G111" t="str">
        <f t="shared" si="15"/>
        <v>KONTROL İÇİNDE</v>
      </c>
    </row>
    <row r="112" spans="1:7" x14ac:dyDescent="0.35">
      <c r="A112" s="21">
        <v>46221</v>
      </c>
      <c r="B112">
        <v>3</v>
      </c>
      <c r="C112">
        <v>0</v>
      </c>
      <c r="D112" s="13">
        <f t="shared" si="12"/>
        <v>0</v>
      </c>
      <c r="E112">
        <f t="shared" si="13"/>
        <v>0.12793107730495912</v>
      </c>
      <c r="F112">
        <f t="shared" si="14"/>
        <v>0</v>
      </c>
      <c r="G112" t="str">
        <f t="shared" si="15"/>
        <v>KONTROL İÇİNDE</v>
      </c>
    </row>
    <row r="113" spans="1:7" x14ac:dyDescent="0.35">
      <c r="A113" s="21">
        <v>46223</v>
      </c>
      <c r="B113">
        <v>42</v>
      </c>
      <c r="C113">
        <v>0</v>
      </c>
      <c r="D113" s="13">
        <f t="shared" si="12"/>
        <v>0</v>
      </c>
      <c r="E113">
        <f t="shared" si="13"/>
        <v>3.789733502909344E-2</v>
      </c>
      <c r="F113">
        <f t="shared" si="14"/>
        <v>0</v>
      </c>
      <c r="G113" t="str">
        <f t="shared" si="15"/>
        <v>KONTROL İÇİNDE</v>
      </c>
    </row>
    <row r="114" spans="1:7" x14ac:dyDescent="0.35">
      <c r="A114" s="21">
        <v>46224</v>
      </c>
      <c r="B114">
        <v>172</v>
      </c>
      <c r="C114">
        <v>2</v>
      </c>
      <c r="D114" s="13">
        <f t="shared" si="12"/>
        <v>1.1627906976744186E-2</v>
      </c>
      <c r="E114">
        <f t="shared" si="13"/>
        <v>2.12857034723863E-2</v>
      </c>
      <c r="F114">
        <f t="shared" si="14"/>
        <v>0</v>
      </c>
      <c r="G114" t="str">
        <f t="shared" si="15"/>
        <v>KONTROL İÇİNDE</v>
      </c>
    </row>
    <row r="115" spans="1:7" x14ac:dyDescent="0.35">
      <c r="A115" s="21">
        <v>46225</v>
      </c>
      <c r="B115">
        <v>4</v>
      </c>
      <c r="C115">
        <v>0</v>
      </c>
      <c r="D115" s="13">
        <f t="shared" si="12"/>
        <v>0</v>
      </c>
      <c r="E115">
        <f t="shared" si="13"/>
        <v>0.1114692290213129</v>
      </c>
      <c r="F115">
        <f t="shared" si="14"/>
        <v>0</v>
      </c>
      <c r="G115" t="str">
        <f t="shared" si="15"/>
        <v>KONTROL İÇİNDE</v>
      </c>
    </row>
    <row r="116" spans="1:7" x14ac:dyDescent="0.35">
      <c r="A116" s="21">
        <v>46226</v>
      </c>
      <c r="B116">
        <v>24</v>
      </c>
      <c r="C116">
        <v>0</v>
      </c>
      <c r="D116" s="13">
        <f t="shared" si="12"/>
        <v>0</v>
      </c>
      <c r="E116">
        <f t="shared" si="13"/>
        <v>4.8500302306325571E-2</v>
      </c>
      <c r="F116">
        <f t="shared" si="14"/>
        <v>0</v>
      </c>
      <c r="G116" t="str">
        <f t="shared" si="15"/>
        <v>KONTROL İÇİNDE</v>
      </c>
    </row>
    <row r="117" spans="1:7" x14ac:dyDescent="0.35">
      <c r="A117" s="21">
        <v>46227</v>
      </c>
      <c r="B117">
        <v>22</v>
      </c>
      <c r="C117">
        <v>0</v>
      </c>
      <c r="D117" s="13">
        <f t="shared" si="12"/>
        <v>0</v>
      </c>
      <c r="E117">
        <f t="shared" si="13"/>
        <v>5.0431997416622187E-2</v>
      </c>
      <c r="F117">
        <f t="shared" si="14"/>
        <v>0</v>
      </c>
      <c r="G117" t="str">
        <f t="shared" si="15"/>
        <v>KONTROL İÇİNDE</v>
      </c>
    </row>
    <row r="118" spans="1:7" x14ac:dyDescent="0.35">
      <c r="A118" s="21">
        <v>46228</v>
      </c>
      <c r="B118">
        <v>2</v>
      </c>
      <c r="C118">
        <v>0</v>
      </c>
      <c r="D118" s="13">
        <f t="shared" si="12"/>
        <v>0</v>
      </c>
      <c r="E118">
        <f t="shared" si="13"/>
        <v>0.15554613329231345</v>
      </c>
      <c r="F118">
        <f t="shared" si="14"/>
        <v>0</v>
      </c>
      <c r="G118" t="str">
        <f t="shared" si="15"/>
        <v>KONTROL İÇİNDE</v>
      </c>
    </row>
    <row r="119" spans="1:7" x14ac:dyDescent="0.35">
      <c r="A119" s="21">
        <v>46229</v>
      </c>
      <c r="B119">
        <v>1</v>
      </c>
      <c r="C119">
        <v>0</v>
      </c>
      <c r="D119" s="13">
        <f t="shared" si="12"/>
        <v>0</v>
      </c>
      <c r="E119">
        <f t="shared" si="13"/>
        <v>0.2178802890997831</v>
      </c>
      <c r="F119">
        <f t="shared" si="14"/>
        <v>0</v>
      </c>
      <c r="G119" t="str">
        <f t="shared" si="15"/>
        <v>KONTROL İÇİNDE</v>
      </c>
    </row>
    <row r="120" spans="1:7" x14ac:dyDescent="0.35">
      <c r="A120" s="21">
        <v>46230</v>
      </c>
      <c r="B120">
        <v>30</v>
      </c>
      <c r="C120">
        <v>0</v>
      </c>
      <c r="D120" s="13">
        <f t="shared" si="12"/>
        <v>0</v>
      </c>
      <c r="E120">
        <f t="shared" si="13"/>
        <v>4.3913994258186415E-2</v>
      </c>
      <c r="F120">
        <f t="shared" si="14"/>
        <v>0</v>
      </c>
      <c r="G120" t="str">
        <f t="shared" si="15"/>
        <v>KONTROL İÇİNDE</v>
      </c>
    </row>
    <row r="121" spans="1:7" x14ac:dyDescent="0.35">
      <c r="A121" s="21">
        <v>46231</v>
      </c>
      <c r="B121">
        <v>7</v>
      </c>
      <c r="C121">
        <v>0</v>
      </c>
      <c r="D121" s="13">
        <f t="shared" si="12"/>
        <v>0</v>
      </c>
      <c r="E121">
        <f t="shared" si="13"/>
        <v>8.54973694326671E-2</v>
      </c>
      <c r="F121">
        <f t="shared" si="14"/>
        <v>0</v>
      </c>
      <c r="G121" t="str">
        <f t="shared" si="15"/>
        <v>KONTROL İÇİNDE</v>
      </c>
    </row>
    <row r="122" spans="1:7" x14ac:dyDescent="0.35">
      <c r="A122" s="21">
        <v>46232</v>
      </c>
      <c r="B122">
        <v>20</v>
      </c>
      <c r="C122">
        <v>0</v>
      </c>
      <c r="D122" s="13">
        <f t="shared" si="12"/>
        <v>0</v>
      </c>
      <c r="E122">
        <f t="shared" si="13"/>
        <v>5.2646641721497384E-2</v>
      </c>
      <c r="F122">
        <f t="shared" si="14"/>
        <v>0</v>
      </c>
      <c r="G122" t="str">
        <f t="shared" si="15"/>
        <v>KONTROL İÇİNDE</v>
      </c>
    </row>
    <row r="123" spans="1:7" x14ac:dyDescent="0.35">
      <c r="A123" s="21">
        <v>46233</v>
      </c>
      <c r="B123">
        <v>20</v>
      </c>
      <c r="C123">
        <v>0</v>
      </c>
      <c r="D123" s="13">
        <f t="shared" si="12"/>
        <v>0</v>
      </c>
      <c r="E123">
        <f t="shared" si="13"/>
        <v>5.2646641721497384E-2</v>
      </c>
      <c r="F123">
        <f t="shared" si="14"/>
        <v>0</v>
      </c>
      <c r="G123" t="str">
        <f t="shared" si="15"/>
        <v>KONTROL İÇİNDE</v>
      </c>
    </row>
    <row r="124" spans="1:7" x14ac:dyDescent="0.35">
      <c r="A124" s="21">
        <v>46234</v>
      </c>
      <c r="B124">
        <v>36</v>
      </c>
      <c r="C124">
        <v>0</v>
      </c>
      <c r="D124" s="13">
        <f t="shared" si="12"/>
        <v>0</v>
      </c>
      <c r="E124">
        <f t="shared" si="13"/>
        <v>4.0528522302332753E-2</v>
      </c>
      <c r="F124">
        <f t="shared" si="14"/>
        <v>0</v>
      </c>
      <c r="G124" t="str">
        <f t="shared" si="15"/>
        <v>KONTROL İÇİNDE</v>
      </c>
    </row>
    <row r="125" spans="1:7" x14ac:dyDescent="0.35">
      <c r="A125" s="21">
        <v>46237</v>
      </c>
      <c r="B125">
        <v>4</v>
      </c>
      <c r="C125">
        <v>0</v>
      </c>
      <c r="D125" s="13">
        <f t="shared" si="12"/>
        <v>0</v>
      </c>
      <c r="E125">
        <f t="shared" si="13"/>
        <v>0.1114692290213129</v>
      </c>
      <c r="F125">
        <f t="shared" si="14"/>
        <v>0</v>
      </c>
      <c r="G125" t="str">
        <f t="shared" si="15"/>
        <v>KONTROL İÇİNDE</v>
      </c>
    </row>
    <row r="126" spans="1:7" x14ac:dyDescent="0.35">
      <c r="A126" s="21">
        <v>46238</v>
      </c>
      <c r="B126">
        <v>8</v>
      </c>
      <c r="C126">
        <v>0</v>
      </c>
      <c r="D126" s="13">
        <f t="shared" si="12"/>
        <v>0</v>
      </c>
      <c r="E126">
        <f t="shared" si="13"/>
        <v>8.0302151117578074E-2</v>
      </c>
      <c r="F126">
        <f t="shared" si="14"/>
        <v>0</v>
      </c>
      <c r="G126" t="str">
        <f t="shared" si="15"/>
        <v>KONTROL İÇİNDE</v>
      </c>
    </row>
    <row r="127" spans="1:7" x14ac:dyDescent="0.35">
      <c r="A127" s="21">
        <v>46239</v>
      </c>
      <c r="B127">
        <v>168</v>
      </c>
      <c r="C127">
        <v>3</v>
      </c>
      <c r="D127" s="13">
        <f t="shared" si="12"/>
        <v>1.7857142857142856E-2</v>
      </c>
      <c r="E127">
        <f t="shared" si="13"/>
        <v>2.1477751985968064E-2</v>
      </c>
      <c r="F127">
        <f t="shared" si="14"/>
        <v>0</v>
      </c>
      <c r="G127" t="str">
        <f t="shared" si="15"/>
        <v>KONTROL İÇİNDE</v>
      </c>
    </row>
    <row r="128" spans="1:7" x14ac:dyDescent="0.35">
      <c r="A128" s="21">
        <v>46240</v>
      </c>
      <c r="B128">
        <v>73</v>
      </c>
      <c r="C128">
        <v>0</v>
      </c>
      <c r="D128" s="13">
        <f t="shared" si="12"/>
        <v>0</v>
      </c>
      <c r="E128">
        <f t="shared" si="13"/>
        <v>2.9967114034723737E-2</v>
      </c>
      <c r="F128">
        <f t="shared" si="14"/>
        <v>0</v>
      </c>
      <c r="G128" t="str">
        <f t="shared" si="15"/>
        <v>KONTROL İÇİNDE</v>
      </c>
    </row>
    <row r="129" spans="1:7" x14ac:dyDescent="0.35">
      <c r="A129" s="21">
        <v>46241</v>
      </c>
      <c r="B129">
        <v>34</v>
      </c>
      <c r="C129">
        <v>0</v>
      </c>
      <c r="D129" s="13">
        <f t="shared" si="12"/>
        <v>0</v>
      </c>
      <c r="E129">
        <f t="shared" si="13"/>
        <v>4.1556861436786982E-2</v>
      </c>
      <c r="F129">
        <f t="shared" si="14"/>
        <v>0</v>
      </c>
      <c r="G129" t="str">
        <f t="shared" si="15"/>
        <v>KONTROL İÇİNDE</v>
      </c>
    </row>
    <row r="130" spans="1:7" x14ac:dyDescent="0.35">
      <c r="A130" s="21">
        <v>46242</v>
      </c>
      <c r="B130">
        <v>1</v>
      </c>
      <c r="C130">
        <v>0</v>
      </c>
      <c r="D130" s="13">
        <f t="shared" ref="D130:D148" si="16">C130/B130</f>
        <v>0</v>
      </c>
      <c r="E130">
        <f t="shared" ref="E130:E147" si="17">$D$148+3*SQRT($D$148*(1-$D$148)/B130)</f>
        <v>0.2178802890997831</v>
      </c>
      <c r="F130">
        <f t="shared" ref="F130:F147" si="18">MAX(0,$D$148-3*SQRT($D$148*(1-$D$148)/B130))</f>
        <v>0</v>
      </c>
      <c r="G130" t="str">
        <f t="shared" ref="G130:G147" si="19">IF(AND(D130&lt;=E130,D130&gt;=F130),"KONTROL İÇİNDE"," KONTROL DIŞINDA")</f>
        <v>KONTROL İÇİNDE</v>
      </c>
    </row>
    <row r="131" spans="1:7" x14ac:dyDescent="0.35">
      <c r="A131" s="21">
        <v>46244</v>
      </c>
      <c r="B131">
        <v>22</v>
      </c>
      <c r="C131">
        <v>0</v>
      </c>
      <c r="D131" s="13">
        <f t="shared" si="16"/>
        <v>0</v>
      </c>
      <c r="E131">
        <f t="shared" si="17"/>
        <v>5.0431997416622187E-2</v>
      </c>
      <c r="F131">
        <f t="shared" si="18"/>
        <v>0</v>
      </c>
      <c r="G131" t="str">
        <f t="shared" si="19"/>
        <v>KONTROL İÇİNDE</v>
      </c>
    </row>
    <row r="132" spans="1:7" x14ac:dyDescent="0.35">
      <c r="A132" s="21">
        <v>46245</v>
      </c>
      <c r="B132">
        <v>35</v>
      </c>
      <c r="C132">
        <v>0</v>
      </c>
      <c r="D132" s="13">
        <f t="shared" si="16"/>
        <v>0</v>
      </c>
      <c r="E132">
        <f t="shared" si="17"/>
        <v>4.1031673013039047E-2</v>
      </c>
      <c r="F132">
        <f t="shared" si="18"/>
        <v>0</v>
      </c>
      <c r="G132" t="str">
        <f t="shared" si="19"/>
        <v>KONTROL İÇİNDE</v>
      </c>
    </row>
    <row r="133" spans="1:7" x14ac:dyDescent="0.35">
      <c r="A133" s="21">
        <v>46246</v>
      </c>
      <c r="B133">
        <v>175</v>
      </c>
      <c r="C133">
        <v>2</v>
      </c>
      <c r="D133" s="13">
        <f t="shared" si="16"/>
        <v>1.1428571428571429E-2</v>
      </c>
      <c r="E133">
        <f t="shared" si="17"/>
        <v>2.1146009040807573E-2</v>
      </c>
      <c r="F133">
        <f t="shared" si="18"/>
        <v>0</v>
      </c>
      <c r="G133" t="str">
        <f t="shared" si="19"/>
        <v>KONTROL İÇİNDE</v>
      </c>
    </row>
    <row r="134" spans="1:7" x14ac:dyDescent="0.35">
      <c r="A134" s="21">
        <v>46247</v>
      </c>
      <c r="B134">
        <v>9</v>
      </c>
      <c r="C134">
        <v>0</v>
      </c>
      <c r="D134" s="13">
        <f t="shared" si="16"/>
        <v>0</v>
      </c>
      <c r="E134">
        <f t="shared" si="17"/>
        <v>7.5998875661822826E-2</v>
      </c>
      <c r="F134">
        <f t="shared" si="18"/>
        <v>0</v>
      </c>
      <c r="G134" t="str">
        <f t="shared" si="19"/>
        <v>KONTROL İÇİNDE</v>
      </c>
    </row>
    <row r="135" spans="1:7" x14ac:dyDescent="0.35">
      <c r="A135" s="21">
        <v>46248</v>
      </c>
      <c r="B135">
        <v>30</v>
      </c>
      <c r="C135">
        <v>0</v>
      </c>
      <c r="D135" s="13">
        <f t="shared" si="16"/>
        <v>0</v>
      </c>
      <c r="E135">
        <f t="shared" si="17"/>
        <v>4.3913994258186415E-2</v>
      </c>
      <c r="F135">
        <f t="shared" si="18"/>
        <v>0</v>
      </c>
      <c r="G135" t="str">
        <f t="shared" si="19"/>
        <v>KONTROL İÇİNDE</v>
      </c>
    </row>
    <row r="136" spans="1:7" x14ac:dyDescent="0.35">
      <c r="A136" s="21">
        <v>46250</v>
      </c>
      <c r="B136">
        <v>2</v>
      </c>
      <c r="C136">
        <v>0</v>
      </c>
      <c r="D136" s="13">
        <f t="shared" si="16"/>
        <v>0</v>
      </c>
      <c r="E136">
        <f t="shared" si="17"/>
        <v>0.15554613329231345</v>
      </c>
      <c r="F136">
        <f t="shared" si="18"/>
        <v>0</v>
      </c>
      <c r="G136" t="str">
        <f t="shared" si="19"/>
        <v>KONTROL İÇİNDE</v>
      </c>
    </row>
    <row r="137" spans="1:7" x14ac:dyDescent="0.35">
      <c r="A137" s="21">
        <v>46251</v>
      </c>
      <c r="B137">
        <v>66</v>
      </c>
      <c r="C137">
        <v>0</v>
      </c>
      <c r="D137" s="13">
        <f t="shared" si="16"/>
        <v>0</v>
      </c>
      <c r="E137">
        <f t="shared" si="17"/>
        <v>3.1254761026343184E-2</v>
      </c>
      <c r="F137">
        <f t="shared" si="18"/>
        <v>0</v>
      </c>
      <c r="G137" t="str">
        <f t="shared" si="19"/>
        <v>KONTROL İÇİNDE</v>
      </c>
    </row>
    <row r="138" spans="1:7" x14ac:dyDescent="0.35">
      <c r="A138" s="21">
        <v>46252</v>
      </c>
      <c r="B138">
        <v>47</v>
      </c>
      <c r="C138">
        <v>0</v>
      </c>
      <c r="D138" s="13">
        <f t="shared" si="16"/>
        <v>0</v>
      </c>
      <c r="E138">
        <f t="shared" si="17"/>
        <v>3.61014656900987E-2</v>
      </c>
      <c r="F138">
        <f t="shared" si="18"/>
        <v>0</v>
      </c>
      <c r="G138" t="str">
        <f t="shared" si="19"/>
        <v>KONTROL İÇİNDE</v>
      </c>
    </row>
    <row r="139" spans="1:7" x14ac:dyDescent="0.35">
      <c r="A139" s="21">
        <v>46253</v>
      </c>
      <c r="B139">
        <v>21</v>
      </c>
      <c r="C139">
        <v>0</v>
      </c>
      <c r="D139" s="13">
        <f t="shared" si="16"/>
        <v>0</v>
      </c>
      <c r="E139">
        <f t="shared" si="17"/>
        <v>5.149976299904109E-2</v>
      </c>
      <c r="F139">
        <f t="shared" si="18"/>
        <v>0</v>
      </c>
      <c r="G139" t="str">
        <f t="shared" si="19"/>
        <v>KONTROL İÇİNDE</v>
      </c>
    </row>
    <row r="140" spans="1:7" x14ac:dyDescent="0.35">
      <c r="A140" s="21">
        <v>46254</v>
      </c>
      <c r="B140">
        <v>25</v>
      </c>
      <c r="C140">
        <v>0</v>
      </c>
      <c r="D140" s="13">
        <f t="shared" si="16"/>
        <v>0</v>
      </c>
      <c r="E140">
        <f t="shared" si="17"/>
        <v>4.7622592974230771E-2</v>
      </c>
      <c r="F140">
        <f t="shared" si="18"/>
        <v>0</v>
      </c>
      <c r="G140" t="str">
        <f t="shared" si="19"/>
        <v>KONTROL İÇİNDE</v>
      </c>
    </row>
    <row r="141" spans="1:7" x14ac:dyDescent="0.35">
      <c r="A141" s="21">
        <v>46255</v>
      </c>
      <c r="B141">
        <v>209</v>
      </c>
      <c r="C141">
        <v>3</v>
      </c>
      <c r="D141" s="13">
        <f t="shared" si="16"/>
        <v>1.4354066985645933E-2</v>
      </c>
      <c r="E141">
        <f t="shared" si="17"/>
        <v>1.9779382817162624E-2</v>
      </c>
      <c r="F141">
        <f t="shared" si="18"/>
        <v>0</v>
      </c>
      <c r="G141" t="str">
        <f t="shared" si="19"/>
        <v>KONTROL İÇİNDE</v>
      </c>
    </row>
    <row r="142" spans="1:7" x14ac:dyDescent="0.35">
      <c r="A142" s="21">
        <v>46256</v>
      </c>
      <c r="B142">
        <v>23</v>
      </c>
      <c r="C142">
        <v>0</v>
      </c>
      <c r="D142" s="13">
        <f t="shared" si="16"/>
        <v>0</v>
      </c>
      <c r="E142">
        <f t="shared" si="17"/>
        <v>4.9434648625751476E-2</v>
      </c>
      <c r="F142">
        <f t="shared" si="18"/>
        <v>0</v>
      </c>
      <c r="G142" t="str">
        <f t="shared" si="19"/>
        <v>KONTROL İÇİNDE</v>
      </c>
    </row>
    <row r="143" spans="1:7" x14ac:dyDescent="0.35">
      <c r="A143" s="21">
        <v>46258</v>
      </c>
      <c r="B143">
        <v>42</v>
      </c>
      <c r="C143">
        <v>0</v>
      </c>
      <c r="D143" s="13">
        <f t="shared" si="16"/>
        <v>0</v>
      </c>
      <c r="E143">
        <f t="shared" si="17"/>
        <v>3.789733502909344E-2</v>
      </c>
      <c r="F143">
        <f t="shared" si="18"/>
        <v>0</v>
      </c>
      <c r="G143" t="str">
        <f t="shared" si="19"/>
        <v>KONTROL İÇİNDE</v>
      </c>
    </row>
    <row r="144" spans="1:7" x14ac:dyDescent="0.35">
      <c r="A144" s="21">
        <v>46259</v>
      </c>
      <c r="B144">
        <v>17</v>
      </c>
      <c r="C144">
        <v>0</v>
      </c>
      <c r="D144" s="13">
        <f t="shared" si="16"/>
        <v>0</v>
      </c>
      <c r="E144">
        <f t="shared" si="17"/>
        <v>5.6675114876663782E-2</v>
      </c>
      <c r="F144">
        <f t="shared" si="18"/>
        <v>0</v>
      </c>
      <c r="G144" t="str">
        <f t="shared" si="19"/>
        <v>KONTROL İÇİNDE</v>
      </c>
    </row>
    <row r="145" spans="1:7" x14ac:dyDescent="0.35">
      <c r="A145" s="21">
        <v>46260</v>
      </c>
      <c r="B145">
        <v>46</v>
      </c>
      <c r="C145">
        <v>0</v>
      </c>
      <c r="D145" s="13">
        <f t="shared" si="16"/>
        <v>0</v>
      </c>
      <c r="E145">
        <f t="shared" si="17"/>
        <v>3.6437078651814545E-2</v>
      </c>
      <c r="F145">
        <f t="shared" si="18"/>
        <v>0</v>
      </c>
      <c r="G145" t="str">
        <f t="shared" si="19"/>
        <v>KONTROL İÇİNDE</v>
      </c>
    </row>
    <row r="146" spans="1:7" x14ac:dyDescent="0.35">
      <c r="A146" s="21">
        <v>46261</v>
      </c>
      <c r="B146">
        <v>160</v>
      </c>
      <c r="C146">
        <v>2</v>
      </c>
      <c r="D146" s="13">
        <f t="shared" si="16"/>
        <v>1.2500000000000001E-2</v>
      </c>
      <c r="E146">
        <f t="shared" si="17"/>
        <v>2.188323484689177E-2</v>
      </c>
      <c r="F146">
        <f t="shared" si="18"/>
        <v>0</v>
      </c>
      <c r="G146" t="str">
        <f t="shared" si="19"/>
        <v>KONTROL İÇİNDE</v>
      </c>
    </row>
    <row r="147" spans="1:7" x14ac:dyDescent="0.35">
      <c r="A147" s="21">
        <v>46262</v>
      </c>
      <c r="B147">
        <v>57</v>
      </c>
      <c r="C147">
        <v>0</v>
      </c>
      <c r="D147" s="13">
        <f t="shared" si="16"/>
        <v>0</v>
      </c>
      <c r="E147">
        <f t="shared" si="17"/>
        <v>3.3247147387547915E-2</v>
      </c>
      <c r="F147">
        <f t="shared" si="18"/>
        <v>0</v>
      </c>
      <c r="G147" t="str">
        <f t="shared" si="19"/>
        <v>KONTROL İÇİNDE</v>
      </c>
    </row>
    <row r="148" spans="1:7" x14ac:dyDescent="0.35">
      <c r="B148">
        <f>SUM(B2:B147)</f>
        <v>5931</v>
      </c>
      <c r="C148">
        <f>SUM(C2:C147)</f>
        <v>30</v>
      </c>
      <c r="D148">
        <f t="shared" si="16"/>
        <v>5.0581689428426911E-3</v>
      </c>
    </row>
  </sheetData>
  <conditionalFormatting sqref="G1:G1048576">
    <cfRule type="cellIs" dxfId="8" priority="1" operator="equal">
      <formula>$G$7</formula>
    </cfRule>
    <cfRule type="cellIs" dxfId="7" priority="8" operator="equal">
      <formula>#REF!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8"/>
  <sheetViews>
    <sheetView tabSelected="1" topLeftCell="E2" zoomScale="63" workbookViewId="0">
      <selection activeCell="Q19" sqref="Q18:Q19"/>
    </sheetView>
  </sheetViews>
  <sheetFormatPr defaultColWidth="19.90625" defaultRowHeight="14.5" x14ac:dyDescent="0.35"/>
  <sheetData>
    <row r="1" spans="1:7" ht="30" customHeight="1" x14ac:dyDescent="0.35">
      <c r="A1" s="4" t="s">
        <v>21</v>
      </c>
      <c r="B1" s="3" t="s">
        <v>1</v>
      </c>
      <c r="C1" s="3" t="s">
        <v>2</v>
      </c>
      <c r="D1" s="12" t="s">
        <v>22</v>
      </c>
      <c r="E1" s="12" t="s">
        <v>4</v>
      </c>
      <c r="F1" s="12" t="s">
        <v>5</v>
      </c>
      <c r="G1" s="12" t="s">
        <v>6</v>
      </c>
    </row>
    <row r="2" spans="1:7" x14ac:dyDescent="0.35">
      <c r="A2" s="21">
        <v>46029</v>
      </c>
      <c r="B2">
        <v>2</v>
      </c>
      <c r="C2">
        <v>0</v>
      </c>
      <c r="D2">
        <f t="shared" ref="D2:D33" si="0">C2/B2</f>
        <v>0</v>
      </c>
      <c r="E2">
        <f t="shared" ref="E2:E33" si="1">$D$148+3*SQRT($D$148*(1-$D$148)/B2)</f>
        <v>0.16674154463178592</v>
      </c>
      <c r="F2">
        <f t="shared" ref="F2:F33" si="2">MAX(0,$D$148-3*SQRT($D$148*(1-$D$148)/B2))</f>
        <v>0</v>
      </c>
      <c r="G2" t="str">
        <f t="shared" ref="G2:G33" si="3">IF(AND(D2&lt;=E2,D2&gt;=F2),"KONTROL İÇİNDE"," KONTROL DIŞINDA")</f>
        <v>KONTROL İÇİNDE</v>
      </c>
    </row>
    <row r="3" spans="1:7" x14ac:dyDescent="0.35">
      <c r="A3" s="21">
        <v>46030</v>
      </c>
      <c r="B3">
        <v>34</v>
      </c>
      <c r="C3">
        <v>0</v>
      </c>
      <c r="D3">
        <f t="shared" si="0"/>
        <v>0</v>
      </c>
      <c r="E3">
        <f t="shared" si="1"/>
        <v>4.4826683280788884E-2</v>
      </c>
      <c r="F3">
        <f t="shared" si="2"/>
        <v>0</v>
      </c>
      <c r="G3" t="str">
        <f t="shared" si="3"/>
        <v>KONTROL İÇİNDE</v>
      </c>
    </row>
    <row r="4" spans="1:7" x14ac:dyDescent="0.35">
      <c r="A4" s="21">
        <v>46031</v>
      </c>
      <c r="B4">
        <v>1</v>
      </c>
      <c r="C4">
        <v>0</v>
      </c>
      <c r="D4">
        <f t="shared" si="0"/>
        <v>0</v>
      </c>
      <c r="E4">
        <f t="shared" si="1"/>
        <v>0.23340974804246212</v>
      </c>
      <c r="F4">
        <f t="shared" si="2"/>
        <v>0</v>
      </c>
      <c r="G4" t="str">
        <f t="shared" si="3"/>
        <v>KONTROL İÇİNDE</v>
      </c>
    </row>
    <row r="5" spans="1:7" x14ac:dyDescent="0.35">
      <c r="A5" s="21">
        <v>46035</v>
      </c>
      <c r="B5">
        <v>81</v>
      </c>
      <c r="C5">
        <v>0</v>
      </c>
      <c r="D5">
        <f t="shared" si="0"/>
        <v>0</v>
      </c>
      <c r="E5">
        <f t="shared" si="1"/>
        <v>3.1081317585769791E-2</v>
      </c>
      <c r="F5">
        <f t="shared" si="2"/>
        <v>0</v>
      </c>
      <c r="G5" t="str">
        <f t="shared" si="3"/>
        <v>KONTROL İÇİNDE</v>
      </c>
    </row>
    <row r="6" spans="1:7" x14ac:dyDescent="0.35">
      <c r="A6" s="21">
        <v>46037</v>
      </c>
      <c r="B6">
        <v>6</v>
      </c>
      <c r="C6">
        <v>0</v>
      </c>
      <c r="D6">
        <f t="shared" si="0"/>
        <v>0</v>
      </c>
      <c r="E6">
        <f t="shared" si="1"/>
        <v>9.8715529105637134E-2</v>
      </c>
      <c r="F6">
        <f t="shared" si="2"/>
        <v>0</v>
      </c>
      <c r="G6" t="str">
        <f t="shared" si="3"/>
        <v>KONTROL İÇİNDE</v>
      </c>
    </row>
    <row r="7" spans="1:7" x14ac:dyDescent="0.35">
      <c r="A7" s="21">
        <v>46038</v>
      </c>
      <c r="B7">
        <v>2</v>
      </c>
      <c r="C7">
        <v>0</v>
      </c>
      <c r="D7">
        <f t="shared" si="0"/>
        <v>0</v>
      </c>
      <c r="E7">
        <f t="shared" si="1"/>
        <v>0.16674154463178592</v>
      </c>
      <c r="F7">
        <f t="shared" si="2"/>
        <v>0</v>
      </c>
      <c r="G7" t="str">
        <f t="shared" si="3"/>
        <v>KONTROL İÇİNDE</v>
      </c>
    </row>
    <row r="8" spans="1:7" x14ac:dyDescent="0.35">
      <c r="A8" s="21">
        <v>46041</v>
      </c>
      <c r="B8">
        <v>12</v>
      </c>
      <c r="C8">
        <v>0</v>
      </c>
      <c r="D8">
        <f t="shared" si="0"/>
        <v>0</v>
      </c>
      <c r="E8">
        <f t="shared" si="1"/>
        <v>7.1498349034931505E-2</v>
      </c>
      <c r="F8">
        <f t="shared" si="2"/>
        <v>0</v>
      </c>
      <c r="G8" t="str">
        <f t="shared" si="3"/>
        <v>KONTROL İÇİNDE</v>
      </c>
    </row>
    <row r="9" spans="1:7" x14ac:dyDescent="0.35">
      <c r="A9" s="21">
        <v>46043</v>
      </c>
      <c r="B9">
        <v>316</v>
      </c>
      <c r="C9">
        <v>5</v>
      </c>
      <c r="D9">
        <f t="shared" si="0"/>
        <v>1.5822784810126583E-2</v>
      </c>
      <c r="E9">
        <f t="shared" si="1"/>
        <v>1.8594860166693206E-2</v>
      </c>
      <c r="F9">
        <f t="shared" si="2"/>
        <v>0</v>
      </c>
      <c r="G9" t="str">
        <f t="shared" si="3"/>
        <v>KONTROL İÇİNDE</v>
      </c>
    </row>
    <row r="10" spans="1:7" x14ac:dyDescent="0.35">
      <c r="A10" s="21">
        <v>46045</v>
      </c>
      <c r="B10">
        <v>60</v>
      </c>
      <c r="C10">
        <v>2</v>
      </c>
      <c r="D10">
        <f t="shared" si="0"/>
        <v>3.3333333333333333E-2</v>
      </c>
      <c r="E10">
        <f t="shared" si="1"/>
        <v>3.5175812839547814E-2</v>
      </c>
      <c r="F10">
        <f t="shared" si="2"/>
        <v>0</v>
      </c>
      <c r="G10" t="str">
        <f t="shared" si="3"/>
        <v>KONTROL İÇİNDE</v>
      </c>
    </row>
    <row r="11" spans="1:7" x14ac:dyDescent="0.35">
      <c r="A11" s="21">
        <v>46048</v>
      </c>
      <c r="B11">
        <v>2</v>
      </c>
      <c r="C11">
        <v>0</v>
      </c>
      <c r="D11">
        <f t="shared" si="0"/>
        <v>0</v>
      </c>
      <c r="E11">
        <f t="shared" si="1"/>
        <v>0.16674154463178592</v>
      </c>
      <c r="F11">
        <f t="shared" si="2"/>
        <v>0</v>
      </c>
      <c r="G11" t="str">
        <f t="shared" si="3"/>
        <v>KONTROL İÇİNDE</v>
      </c>
    </row>
    <row r="12" spans="1:7" x14ac:dyDescent="0.35">
      <c r="A12" s="21">
        <v>46050</v>
      </c>
      <c r="B12">
        <v>205</v>
      </c>
      <c r="C12">
        <v>0</v>
      </c>
      <c r="D12">
        <f t="shared" si="0"/>
        <v>0</v>
      </c>
      <c r="E12">
        <f t="shared" si="1"/>
        <v>2.168789815041024E-2</v>
      </c>
      <c r="F12">
        <f t="shared" si="2"/>
        <v>0</v>
      </c>
      <c r="G12" t="str">
        <f t="shared" si="3"/>
        <v>KONTROL İÇİNDE</v>
      </c>
    </row>
    <row r="13" spans="1:7" x14ac:dyDescent="0.35">
      <c r="A13" s="21">
        <v>46052</v>
      </c>
      <c r="B13">
        <v>6</v>
      </c>
      <c r="C13">
        <v>0</v>
      </c>
      <c r="D13">
        <f t="shared" si="0"/>
        <v>0</v>
      </c>
      <c r="E13">
        <f t="shared" si="1"/>
        <v>9.8715529105637134E-2</v>
      </c>
      <c r="F13">
        <f t="shared" si="2"/>
        <v>0</v>
      </c>
      <c r="G13" t="str">
        <f t="shared" si="3"/>
        <v>KONTROL İÇİNDE</v>
      </c>
    </row>
    <row r="14" spans="1:7" x14ac:dyDescent="0.35">
      <c r="A14" s="21">
        <v>46055</v>
      </c>
      <c r="B14">
        <v>2</v>
      </c>
      <c r="C14">
        <v>0</v>
      </c>
      <c r="D14">
        <f t="shared" si="0"/>
        <v>0</v>
      </c>
      <c r="E14">
        <f t="shared" si="1"/>
        <v>0.16674154463178592</v>
      </c>
      <c r="F14">
        <f t="shared" si="2"/>
        <v>0</v>
      </c>
      <c r="G14" t="str">
        <f t="shared" si="3"/>
        <v>KONTROL İÇİNDE</v>
      </c>
    </row>
    <row r="15" spans="1:7" x14ac:dyDescent="0.35">
      <c r="A15" s="21">
        <v>46056</v>
      </c>
      <c r="B15">
        <v>1</v>
      </c>
      <c r="C15">
        <v>0</v>
      </c>
      <c r="D15">
        <f t="shared" si="0"/>
        <v>0</v>
      </c>
      <c r="E15">
        <f t="shared" si="1"/>
        <v>0.23340974804246212</v>
      </c>
      <c r="F15">
        <f t="shared" si="2"/>
        <v>0</v>
      </c>
      <c r="G15" t="str">
        <f t="shared" si="3"/>
        <v>KONTROL İÇİNDE</v>
      </c>
    </row>
    <row r="16" spans="1:7" x14ac:dyDescent="0.35">
      <c r="A16" s="21">
        <v>46057</v>
      </c>
      <c r="B16">
        <v>7</v>
      </c>
      <c r="C16">
        <v>0</v>
      </c>
      <c r="D16">
        <f t="shared" si="0"/>
        <v>0</v>
      </c>
      <c r="E16">
        <f t="shared" si="1"/>
        <v>9.1822342195074513E-2</v>
      </c>
      <c r="F16">
        <f t="shared" si="2"/>
        <v>0</v>
      </c>
      <c r="G16" t="str">
        <f t="shared" si="3"/>
        <v>KONTROL İÇİNDE</v>
      </c>
    </row>
    <row r="17" spans="1:7" x14ac:dyDescent="0.35">
      <c r="A17" s="21">
        <v>46058</v>
      </c>
      <c r="B17">
        <v>6</v>
      </c>
      <c r="C17">
        <v>0</v>
      </c>
      <c r="D17">
        <f t="shared" si="0"/>
        <v>0</v>
      </c>
      <c r="E17">
        <f t="shared" si="1"/>
        <v>9.8715529105637134E-2</v>
      </c>
      <c r="F17">
        <f t="shared" si="2"/>
        <v>0</v>
      </c>
      <c r="G17" t="str">
        <f t="shared" si="3"/>
        <v>KONTROL İÇİNDE</v>
      </c>
    </row>
    <row r="18" spans="1:7" x14ac:dyDescent="0.35">
      <c r="A18" s="21">
        <v>46059</v>
      </c>
      <c r="B18">
        <v>7</v>
      </c>
      <c r="C18">
        <v>0</v>
      </c>
      <c r="D18">
        <f t="shared" si="0"/>
        <v>0</v>
      </c>
      <c r="E18">
        <f t="shared" si="1"/>
        <v>9.1822342195074513E-2</v>
      </c>
      <c r="F18">
        <f t="shared" si="2"/>
        <v>0</v>
      </c>
      <c r="G18" t="str">
        <f t="shared" si="3"/>
        <v>KONTROL İÇİNDE</v>
      </c>
    </row>
    <row r="19" spans="1:7" x14ac:dyDescent="0.35">
      <c r="A19" s="21">
        <v>46062</v>
      </c>
      <c r="B19">
        <v>25</v>
      </c>
      <c r="C19">
        <v>0</v>
      </c>
      <c r="D19">
        <f t="shared" si="0"/>
        <v>0</v>
      </c>
      <c r="E19">
        <f t="shared" si="1"/>
        <v>5.1314160631439031E-2</v>
      </c>
      <c r="F19">
        <f t="shared" si="2"/>
        <v>0</v>
      </c>
      <c r="G19" t="str">
        <f t="shared" si="3"/>
        <v>KONTROL İÇİNDE</v>
      </c>
    </row>
    <row r="20" spans="1:7" x14ac:dyDescent="0.35">
      <c r="A20" s="21">
        <v>46063</v>
      </c>
      <c r="B20">
        <v>4</v>
      </c>
      <c r="C20">
        <v>0</v>
      </c>
      <c r="D20">
        <f t="shared" si="0"/>
        <v>0</v>
      </c>
      <c r="E20">
        <f t="shared" si="1"/>
        <v>0.11960000591057268</v>
      </c>
      <c r="F20">
        <f t="shared" si="2"/>
        <v>0</v>
      </c>
      <c r="G20" t="str">
        <f t="shared" si="3"/>
        <v>KONTROL İÇİNDE</v>
      </c>
    </row>
    <row r="21" spans="1:7" x14ac:dyDescent="0.35">
      <c r="A21" s="21">
        <v>46064</v>
      </c>
      <c r="B21">
        <v>2</v>
      </c>
      <c r="C21">
        <v>0</v>
      </c>
      <c r="D21">
        <f t="shared" si="0"/>
        <v>0</v>
      </c>
      <c r="E21">
        <f t="shared" si="1"/>
        <v>0.16674154463178592</v>
      </c>
      <c r="F21">
        <f t="shared" si="2"/>
        <v>0</v>
      </c>
      <c r="G21" t="str">
        <f t="shared" si="3"/>
        <v>KONTROL İÇİNDE</v>
      </c>
    </row>
    <row r="22" spans="1:7" x14ac:dyDescent="0.35">
      <c r="A22" s="21">
        <v>46065</v>
      </c>
      <c r="B22">
        <v>86</v>
      </c>
      <c r="C22">
        <v>0</v>
      </c>
      <c r="D22">
        <f t="shared" si="0"/>
        <v>0</v>
      </c>
      <c r="E22">
        <f t="shared" si="1"/>
        <v>3.033510400198294E-2</v>
      </c>
      <c r="F22">
        <f t="shared" si="2"/>
        <v>0</v>
      </c>
      <c r="G22" t="str">
        <f t="shared" si="3"/>
        <v>KONTROL İÇİNDE</v>
      </c>
    </row>
    <row r="23" spans="1:7" x14ac:dyDescent="0.35">
      <c r="A23" s="21">
        <v>46066</v>
      </c>
      <c r="B23">
        <v>16</v>
      </c>
      <c r="C23">
        <v>0</v>
      </c>
      <c r="D23">
        <f t="shared" si="0"/>
        <v>0</v>
      </c>
      <c r="E23">
        <f t="shared" si="1"/>
        <v>6.2695134844627964E-2</v>
      </c>
      <c r="F23">
        <f t="shared" si="2"/>
        <v>0</v>
      </c>
      <c r="G23" t="str">
        <f t="shared" si="3"/>
        <v>KONTROL İÇİNDE</v>
      </c>
    </row>
    <row r="24" spans="1:7" x14ac:dyDescent="0.35">
      <c r="A24" s="21">
        <v>46069</v>
      </c>
      <c r="B24">
        <v>7</v>
      </c>
      <c r="C24">
        <v>0</v>
      </c>
      <c r="D24">
        <f t="shared" si="0"/>
        <v>0</v>
      </c>
      <c r="E24">
        <f t="shared" si="1"/>
        <v>9.1822342195074513E-2</v>
      </c>
      <c r="F24">
        <f t="shared" si="2"/>
        <v>0</v>
      </c>
      <c r="G24" t="str">
        <f t="shared" si="3"/>
        <v>KONTROL İÇİNDE</v>
      </c>
    </row>
    <row r="25" spans="1:7" x14ac:dyDescent="0.35">
      <c r="A25" s="21">
        <v>46070</v>
      </c>
      <c r="B25">
        <v>11</v>
      </c>
      <c r="C25">
        <v>0</v>
      </c>
      <c r="D25">
        <f t="shared" si="0"/>
        <v>0</v>
      </c>
      <c r="E25">
        <f t="shared" si="1"/>
        <v>7.4420120531152323E-2</v>
      </c>
      <c r="F25">
        <f t="shared" si="2"/>
        <v>0</v>
      </c>
      <c r="G25" t="str">
        <f t="shared" si="3"/>
        <v>KONTROL İÇİNDE</v>
      </c>
    </row>
    <row r="26" spans="1:7" x14ac:dyDescent="0.35">
      <c r="A26" s="21">
        <v>46071</v>
      </c>
      <c r="B26">
        <v>6</v>
      </c>
      <c r="C26">
        <v>0</v>
      </c>
      <c r="D26">
        <f t="shared" si="0"/>
        <v>0</v>
      </c>
      <c r="E26">
        <f t="shared" si="1"/>
        <v>9.8715529105637134E-2</v>
      </c>
      <c r="F26">
        <f t="shared" si="2"/>
        <v>0</v>
      </c>
      <c r="G26" t="str">
        <f t="shared" si="3"/>
        <v>KONTROL İÇİNDE</v>
      </c>
    </row>
    <row r="27" spans="1:7" x14ac:dyDescent="0.35">
      <c r="A27" s="21">
        <v>46072</v>
      </c>
      <c r="B27">
        <v>8</v>
      </c>
      <c r="C27">
        <v>0</v>
      </c>
      <c r="D27">
        <f t="shared" si="0"/>
        <v>0</v>
      </c>
      <c r="E27">
        <f t="shared" si="1"/>
        <v>8.6265904205234584E-2</v>
      </c>
      <c r="F27">
        <f t="shared" si="2"/>
        <v>0</v>
      </c>
      <c r="G27" t="str">
        <f t="shared" si="3"/>
        <v>KONTROL İÇİNDE</v>
      </c>
    </row>
    <row r="28" spans="1:7" x14ac:dyDescent="0.35">
      <c r="A28" s="21">
        <v>46076</v>
      </c>
      <c r="B28">
        <v>12</v>
      </c>
      <c r="C28">
        <v>0</v>
      </c>
      <c r="D28">
        <f t="shared" si="0"/>
        <v>0</v>
      </c>
      <c r="E28">
        <f t="shared" si="1"/>
        <v>7.1498349034931505E-2</v>
      </c>
      <c r="F28">
        <f t="shared" si="2"/>
        <v>0</v>
      </c>
      <c r="G28" t="str">
        <f t="shared" si="3"/>
        <v>KONTROL İÇİNDE</v>
      </c>
    </row>
    <row r="29" spans="1:7" x14ac:dyDescent="0.35">
      <c r="A29" s="21">
        <v>46077</v>
      </c>
      <c r="B29">
        <v>5</v>
      </c>
      <c r="C29">
        <v>0</v>
      </c>
      <c r="D29">
        <f t="shared" si="0"/>
        <v>0</v>
      </c>
      <c r="E29">
        <f t="shared" si="1"/>
        <v>0.1075847917421339</v>
      </c>
      <c r="F29">
        <f t="shared" si="2"/>
        <v>0</v>
      </c>
      <c r="G29" t="str">
        <f t="shared" si="3"/>
        <v>KONTROL İÇİNDE</v>
      </c>
    </row>
    <row r="30" spans="1:7" x14ac:dyDescent="0.35">
      <c r="A30" s="21">
        <v>46078</v>
      </c>
      <c r="B30">
        <v>3</v>
      </c>
      <c r="C30">
        <v>0</v>
      </c>
      <c r="D30">
        <f t="shared" si="0"/>
        <v>0</v>
      </c>
      <c r="E30">
        <f t="shared" si="1"/>
        <v>0.13720643429117976</v>
      </c>
      <c r="F30">
        <f t="shared" si="2"/>
        <v>0</v>
      </c>
      <c r="G30" t="str">
        <f t="shared" si="3"/>
        <v>KONTROL İÇİNDE</v>
      </c>
    </row>
    <row r="31" spans="1:7" x14ac:dyDescent="0.35">
      <c r="A31" s="21">
        <v>46079</v>
      </c>
      <c r="B31">
        <v>2</v>
      </c>
      <c r="C31">
        <v>0</v>
      </c>
      <c r="D31">
        <f t="shared" si="0"/>
        <v>0</v>
      </c>
      <c r="E31">
        <f t="shared" si="1"/>
        <v>0.16674154463178592</v>
      </c>
      <c r="F31">
        <f t="shared" si="2"/>
        <v>0</v>
      </c>
      <c r="G31" t="str">
        <f t="shared" si="3"/>
        <v>KONTROL İÇİNDE</v>
      </c>
    </row>
    <row r="32" spans="1:7" x14ac:dyDescent="0.35">
      <c r="A32" s="21">
        <v>46081</v>
      </c>
      <c r="B32">
        <v>28</v>
      </c>
      <c r="C32">
        <v>0</v>
      </c>
      <c r="D32">
        <f t="shared" si="0"/>
        <v>0</v>
      </c>
      <c r="E32">
        <f t="shared" si="1"/>
        <v>4.8806302986878887E-2</v>
      </c>
      <c r="F32">
        <f t="shared" si="2"/>
        <v>0</v>
      </c>
      <c r="G32" t="str">
        <f t="shared" si="3"/>
        <v>KONTROL İÇİNDE</v>
      </c>
    </row>
    <row r="33" spans="1:7" x14ac:dyDescent="0.35">
      <c r="A33" s="21">
        <v>46083</v>
      </c>
      <c r="B33">
        <v>30</v>
      </c>
      <c r="C33">
        <v>1</v>
      </c>
      <c r="D33">
        <f t="shared" si="0"/>
        <v>3.3333333333333333E-2</v>
      </c>
      <c r="E33">
        <f t="shared" si="1"/>
        <v>4.7347705798337879E-2</v>
      </c>
      <c r="F33">
        <f t="shared" si="2"/>
        <v>0</v>
      </c>
      <c r="G33" t="str">
        <f t="shared" si="3"/>
        <v>KONTROL İÇİNDE</v>
      </c>
    </row>
    <row r="34" spans="1:7" x14ac:dyDescent="0.35">
      <c r="A34" s="21">
        <v>46084</v>
      </c>
      <c r="B34">
        <v>197</v>
      </c>
      <c r="C34">
        <v>4</v>
      </c>
      <c r="D34">
        <f t="shared" ref="D34:D65" si="4">C34/B34</f>
        <v>2.030456852791878E-2</v>
      </c>
      <c r="E34">
        <f t="shared" ref="E34:E65" si="5">$D$148+3*SQRT($D$148*(1-$D$148)/B34)</f>
        <v>2.2007480552246914E-2</v>
      </c>
      <c r="F34">
        <f t="shared" ref="F34:F65" si="6">MAX(0,$D$148-3*SQRT($D$148*(1-$D$148)/B34))</f>
        <v>0</v>
      </c>
      <c r="G34" t="str">
        <f t="shared" ref="G34:G65" si="7">IF(AND(D34&lt;=E34,D34&gt;=F34),"KONTROL İÇİNDE"," KONTROL DIŞINDA")</f>
        <v>KONTROL İÇİNDE</v>
      </c>
    </row>
    <row r="35" spans="1:7" x14ac:dyDescent="0.35">
      <c r="A35" s="21">
        <v>46086</v>
      </c>
      <c r="B35">
        <v>5</v>
      </c>
      <c r="C35">
        <v>0</v>
      </c>
      <c r="D35">
        <f t="shared" si="4"/>
        <v>0</v>
      </c>
      <c r="E35">
        <f t="shared" si="5"/>
        <v>0.1075847917421339</v>
      </c>
      <c r="F35">
        <f t="shared" si="6"/>
        <v>0</v>
      </c>
      <c r="G35" t="str">
        <f t="shared" si="7"/>
        <v>KONTROL İÇİNDE</v>
      </c>
    </row>
    <row r="36" spans="1:7" x14ac:dyDescent="0.35">
      <c r="A36" s="21">
        <v>46087</v>
      </c>
      <c r="B36">
        <v>2</v>
      </c>
      <c r="C36">
        <v>0</v>
      </c>
      <c r="D36">
        <f t="shared" si="4"/>
        <v>0</v>
      </c>
      <c r="E36">
        <f t="shared" si="5"/>
        <v>0.16674154463178592</v>
      </c>
      <c r="F36">
        <f t="shared" si="6"/>
        <v>0</v>
      </c>
      <c r="G36" t="str">
        <f t="shared" si="7"/>
        <v>KONTROL İÇİNDE</v>
      </c>
    </row>
    <row r="37" spans="1:7" x14ac:dyDescent="0.35">
      <c r="A37" s="21">
        <v>46090</v>
      </c>
      <c r="B37">
        <v>2</v>
      </c>
      <c r="C37">
        <v>0</v>
      </c>
      <c r="D37">
        <f t="shared" si="4"/>
        <v>0</v>
      </c>
      <c r="E37">
        <f t="shared" si="5"/>
        <v>0.16674154463178592</v>
      </c>
      <c r="F37">
        <f t="shared" si="6"/>
        <v>0</v>
      </c>
      <c r="G37" t="str">
        <f t="shared" si="7"/>
        <v>KONTROL İÇİNDE</v>
      </c>
    </row>
    <row r="38" spans="1:7" x14ac:dyDescent="0.35">
      <c r="A38" s="21">
        <v>46091</v>
      </c>
      <c r="B38">
        <v>2</v>
      </c>
      <c r="C38">
        <v>0</v>
      </c>
      <c r="D38">
        <f t="shared" si="4"/>
        <v>0</v>
      </c>
      <c r="E38">
        <f t="shared" si="5"/>
        <v>0.16674154463178592</v>
      </c>
      <c r="F38">
        <f t="shared" si="6"/>
        <v>0</v>
      </c>
      <c r="G38" t="str">
        <f t="shared" si="7"/>
        <v>KONTROL İÇİNDE</v>
      </c>
    </row>
    <row r="39" spans="1:7" x14ac:dyDescent="0.35">
      <c r="A39" s="21">
        <v>46092</v>
      </c>
      <c r="B39">
        <v>70</v>
      </c>
      <c r="C39">
        <v>2</v>
      </c>
      <c r="D39">
        <f t="shared" si="4"/>
        <v>2.8571428571428571E-2</v>
      </c>
      <c r="E39">
        <f t="shared" si="5"/>
        <v>3.2995995742084082E-2</v>
      </c>
      <c r="F39">
        <f t="shared" si="6"/>
        <v>0</v>
      </c>
      <c r="G39" t="str">
        <f t="shared" si="7"/>
        <v>KONTROL İÇİNDE</v>
      </c>
    </row>
    <row r="40" spans="1:7" x14ac:dyDescent="0.35">
      <c r="A40" s="21">
        <v>46093</v>
      </c>
      <c r="B40">
        <v>23</v>
      </c>
      <c r="C40">
        <v>0</v>
      </c>
      <c r="D40">
        <f t="shared" si="4"/>
        <v>0</v>
      </c>
      <c r="E40">
        <f t="shared" si="5"/>
        <v>5.3252207167918654E-2</v>
      </c>
      <c r="F40">
        <f t="shared" si="6"/>
        <v>0</v>
      </c>
      <c r="G40" t="str">
        <f t="shared" si="7"/>
        <v>KONTROL İÇİNDE</v>
      </c>
    </row>
    <row r="41" spans="1:7" x14ac:dyDescent="0.35">
      <c r="A41" s="21">
        <v>46094</v>
      </c>
      <c r="B41">
        <v>1</v>
      </c>
      <c r="C41">
        <v>0</v>
      </c>
      <c r="D41">
        <f t="shared" si="4"/>
        <v>0</v>
      </c>
      <c r="E41">
        <f t="shared" si="5"/>
        <v>0.23340974804246212</v>
      </c>
      <c r="F41">
        <f t="shared" si="6"/>
        <v>0</v>
      </c>
      <c r="G41" t="str">
        <f t="shared" si="7"/>
        <v>KONTROL İÇİNDE</v>
      </c>
    </row>
    <row r="42" spans="1:7" x14ac:dyDescent="0.35">
      <c r="A42" s="21">
        <v>46096</v>
      </c>
      <c r="B42">
        <v>1</v>
      </c>
      <c r="C42">
        <v>0</v>
      </c>
      <c r="D42">
        <f t="shared" si="4"/>
        <v>0</v>
      </c>
      <c r="E42">
        <f t="shared" si="5"/>
        <v>0.23340974804246212</v>
      </c>
      <c r="F42">
        <f t="shared" si="6"/>
        <v>0</v>
      </c>
      <c r="G42" t="str">
        <f t="shared" si="7"/>
        <v>KONTROL İÇİNDE</v>
      </c>
    </row>
    <row r="43" spans="1:7" x14ac:dyDescent="0.35">
      <c r="A43" s="21">
        <v>46097</v>
      </c>
      <c r="B43">
        <v>33</v>
      </c>
      <c r="C43">
        <v>0</v>
      </c>
      <c r="D43">
        <f t="shared" si="4"/>
        <v>0</v>
      </c>
      <c r="E43">
        <f t="shared" si="5"/>
        <v>4.5413730049166733E-2</v>
      </c>
      <c r="F43">
        <f t="shared" si="6"/>
        <v>0</v>
      </c>
      <c r="G43" t="str">
        <f t="shared" si="7"/>
        <v>KONTROL İÇİNDE</v>
      </c>
    </row>
    <row r="44" spans="1:7" x14ac:dyDescent="0.35">
      <c r="A44" s="21">
        <v>46098</v>
      </c>
      <c r="B44">
        <v>17</v>
      </c>
      <c r="C44">
        <v>0</v>
      </c>
      <c r="D44">
        <f t="shared" si="4"/>
        <v>0</v>
      </c>
      <c r="E44">
        <f t="shared" si="5"/>
        <v>6.0996097665046621E-2</v>
      </c>
      <c r="F44">
        <f t="shared" si="6"/>
        <v>0</v>
      </c>
      <c r="G44" t="str">
        <f t="shared" si="7"/>
        <v>KONTROL İÇİNDE</v>
      </c>
    </row>
    <row r="45" spans="1:7" x14ac:dyDescent="0.35">
      <c r="A45" s="21">
        <v>46099</v>
      </c>
      <c r="B45">
        <v>30</v>
      </c>
      <c r="C45">
        <v>0</v>
      </c>
      <c r="D45">
        <f t="shared" si="4"/>
        <v>0</v>
      </c>
      <c r="E45">
        <f t="shared" si="5"/>
        <v>4.7347705798337879E-2</v>
      </c>
      <c r="F45">
        <f t="shared" si="6"/>
        <v>0</v>
      </c>
      <c r="G45" t="str">
        <f t="shared" si="7"/>
        <v>KONTROL İÇİNDE</v>
      </c>
    </row>
    <row r="46" spans="1:7" x14ac:dyDescent="0.35">
      <c r="A46" s="21">
        <v>46101</v>
      </c>
      <c r="B46">
        <v>1</v>
      </c>
      <c r="C46">
        <v>0</v>
      </c>
      <c r="D46">
        <f t="shared" si="4"/>
        <v>0</v>
      </c>
      <c r="E46">
        <f t="shared" si="5"/>
        <v>0.23340974804246212</v>
      </c>
      <c r="F46">
        <f t="shared" si="6"/>
        <v>0</v>
      </c>
      <c r="G46" t="str">
        <f t="shared" si="7"/>
        <v>KONTROL İÇİNDE</v>
      </c>
    </row>
    <row r="47" spans="1:7" x14ac:dyDescent="0.35">
      <c r="A47" s="21">
        <v>46105</v>
      </c>
      <c r="B47">
        <v>500</v>
      </c>
      <c r="C47">
        <v>7</v>
      </c>
      <c r="D47">
        <f t="shared" si="4"/>
        <v>1.4E-2</v>
      </c>
      <c r="E47">
        <f t="shared" si="5"/>
        <v>1.5969716575028315E-2</v>
      </c>
      <c r="F47">
        <f t="shared" si="6"/>
        <v>0</v>
      </c>
      <c r="G47" t="str">
        <f t="shared" si="7"/>
        <v>KONTROL İÇİNDE</v>
      </c>
    </row>
    <row r="48" spans="1:7" x14ac:dyDescent="0.35">
      <c r="A48" s="21">
        <v>46106</v>
      </c>
      <c r="B48">
        <v>55</v>
      </c>
      <c r="C48">
        <v>0</v>
      </c>
      <c r="D48">
        <f t="shared" si="4"/>
        <v>0</v>
      </c>
      <c r="E48">
        <f t="shared" si="5"/>
        <v>3.648246877560201E-2</v>
      </c>
      <c r="F48">
        <f t="shared" si="6"/>
        <v>0</v>
      </c>
      <c r="G48" t="str">
        <f t="shared" si="7"/>
        <v>KONTROL İÇİNDE</v>
      </c>
    </row>
    <row r="49" spans="1:7" x14ac:dyDescent="0.35">
      <c r="A49" s="21">
        <v>46107</v>
      </c>
      <c r="B49">
        <v>1</v>
      </c>
      <c r="C49">
        <v>0</v>
      </c>
      <c r="D49">
        <f t="shared" si="4"/>
        <v>0</v>
      </c>
      <c r="E49">
        <f t="shared" si="5"/>
        <v>0.23340974804246212</v>
      </c>
      <c r="F49">
        <f t="shared" si="6"/>
        <v>0</v>
      </c>
      <c r="G49" t="str">
        <f t="shared" si="7"/>
        <v>KONTROL İÇİNDE</v>
      </c>
    </row>
    <row r="50" spans="1:7" x14ac:dyDescent="0.35">
      <c r="A50" s="21">
        <v>46108</v>
      </c>
      <c r="B50">
        <v>23</v>
      </c>
      <c r="C50">
        <v>0</v>
      </c>
      <c r="D50">
        <f t="shared" si="4"/>
        <v>0</v>
      </c>
      <c r="E50">
        <f t="shared" si="5"/>
        <v>5.3252207167918654E-2</v>
      </c>
      <c r="F50">
        <f t="shared" si="6"/>
        <v>0</v>
      </c>
      <c r="G50" t="str">
        <f t="shared" si="7"/>
        <v>KONTROL İÇİNDE</v>
      </c>
    </row>
    <row r="51" spans="1:7" x14ac:dyDescent="0.35">
      <c r="A51" s="21">
        <v>46111</v>
      </c>
      <c r="B51">
        <v>2</v>
      </c>
      <c r="C51">
        <v>0</v>
      </c>
      <c r="D51">
        <f t="shared" si="4"/>
        <v>0</v>
      </c>
      <c r="E51">
        <f t="shared" si="5"/>
        <v>0.16674154463178592</v>
      </c>
      <c r="F51">
        <f t="shared" si="6"/>
        <v>0</v>
      </c>
      <c r="G51" t="str">
        <f t="shared" si="7"/>
        <v>KONTROL İÇİNDE</v>
      </c>
    </row>
    <row r="52" spans="1:7" x14ac:dyDescent="0.35">
      <c r="A52" s="21">
        <v>46112</v>
      </c>
      <c r="B52">
        <v>1</v>
      </c>
      <c r="C52">
        <v>0</v>
      </c>
      <c r="D52">
        <f t="shared" si="4"/>
        <v>0</v>
      </c>
      <c r="E52">
        <f t="shared" si="5"/>
        <v>0.23340974804246212</v>
      </c>
      <c r="F52">
        <f t="shared" si="6"/>
        <v>0</v>
      </c>
      <c r="G52" t="str">
        <f t="shared" si="7"/>
        <v>KONTROL İÇİNDE</v>
      </c>
    </row>
    <row r="53" spans="1:7" x14ac:dyDescent="0.35">
      <c r="A53" s="21">
        <v>46113</v>
      </c>
      <c r="B53">
        <v>2</v>
      </c>
      <c r="C53">
        <v>0</v>
      </c>
      <c r="D53">
        <f t="shared" si="4"/>
        <v>0</v>
      </c>
      <c r="E53">
        <f t="shared" si="5"/>
        <v>0.16674154463178592</v>
      </c>
      <c r="F53">
        <f t="shared" si="6"/>
        <v>0</v>
      </c>
      <c r="G53" t="str">
        <f t="shared" si="7"/>
        <v>KONTROL İÇİNDE</v>
      </c>
    </row>
    <row r="54" spans="1:7" x14ac:dyDescent="0.35">
      <c r="A54" s="21">
        <v>46115</v>
      </c>
      <c r="B54">
        <v>8</v>
      </c>
      <c r="C54">
        <v>0</v>
      </c>
      <c r="D54">
        <f t="shared" si="4"/>
        <v>0</v>
      </c>
      <c r="E54">
        <f t="shared" si="5"/>
        <v>8.6265904205234584E-2</v>
      </c>
      <c r="F54">
        <f t="shared" si="6"/>
        <v>0</v>
      </c>
      <c r="G54" t="str">
        <f t="shared" si="7"/>
        <v>KONTROL İÇİNDE</v>
      </c>
    </row>
    <row r="55" spans="1:7" x14ac:dyDescent="0.35">
      <c r="A55" s="21">
        <v>46118</v>
      </c>
      <c r="B55">
        <v>2</v>
      </c>
      <c r="C55">
        <v>0</v>
      </c>
      <c r="D55">
        <f t="shared" si="4"/>
        <v>0</v>
      </c>
      <c r="E55">
        <f t="shared" si="5"/>
        <v>0.16674154463178592</v>
      </c>
      <c r="F55">
        <f t="shared" si="6"/>
        <v>0</v>
      </c>
      <c r="G55" t="str">
        <f t="shared" si="7"/>
        <v>KONTROL İÇİNDE</v>
      </c>
    </row>
    <row r="56" spans="1:7" x14ac:dyDescent="0.35">
      <c r="A56" s="21">
        <v>46119</v>
      </c>
      <c r="B56">
        <v>14</v>
      </c>
      <c r="C56">
        <v>0</v>
      </c>
      <c r="D56">
        <f t="shared" si="4"/>
        <v>0</v>
      </c>
      <c r="E56">
        <f t="shared" si="5"/>
        <v>6.6624129826486328E-2</v>
      </c>
      <c r="F56">
        <f t="shared" si="6"/>
        <v>0</v>
      </c>
      <c r="G56" t="str">
        <f t="shared" si="7"/>
        <v>KONTROL İÇİNDE</v>
      </c>
    </row>
    <row r="57" spans="1:7" x14ac:dyDescent="0.35">
      <c r="A57" s="21">
        <v>46120</v>
      </c>
      <c r="B57">
        <v>8</v>
      </c>
      <c r="C57">
        <v>0</v>
      </c>
      <c r="D57">
        <f t="shared" si="4"/>
        <v>0</v>
      </c>
      <c r="E57">
        <f t="shared" si="5"/>
        <v>8.6265904205234584E-2</v>
      </c>
      <c r="F57">
        <f t="shared" si="6"/>
        <v>0</v>
      </c>
      <c r="G57" t="str">
        <f t="shared" si="7"/>
        <v>KONTROL İÇİNDE</v>
      </c>
    </row>
    <row r="58" spans="1:7" x14ac:dyDescent="0.35">
      <c r="A58" s="21">
        <v>46121</v>
      </c>
      <c r="B58">
        <v>25</v>
      </c>
      <c r="C58">
        <v>0</v>
      </c>
      <c r="D58">
        <f t="shared" si="4"/>
        <v>0</v>
      </c>
      <c r="E58">
        <f t="shared" si="5"/>
        <v>5.1314160631439031E-2</v>
      </c>
      <c r="F58">
        <f t="shared" si="6"/>
        <v>0</v>
      </c>
      <c r="G58" t="str">
        <f t="shared" si="7"/>
        <v>KONTROL İÇİNDE</v>
      </c>
    </row>
    <row r="59" spans="1:7" x14ac:dyDescent="0.35">
      <c r="A59" s="21">
        <v>46122</v>
      </c>
      <c r="B59">
        <v>1</v>
      </c>
      <c r="C59">
        <v>0</v>
      </c>
      <c r="D59">
        <f t="shared" si="4"/>
        <v>0</v>
      </c>
      <c r="E59">
        <f t="shared" si="5"/>
        <v>0.23340974804246212</v>
      </c>
      <c r="F59">
        <f t="shared" si="6"/>
        <v>0</v>
      </c>
      <c r="G59" t="str">
        <f t="shared" si="7"/>
        <v>KONTROL İÇİNDE</v>
      </c>
    </row>
    <row r="60" spans="1:7" x14ac:dyDescent="0.35">
      <c r="A60" s="21">
        <v>46125</v>
      </c>
      <c r="B60">
        <v>43</v>
      </c>
      <c r="C60">
        <v>0</v>
      </c>
      <c r="D60">
        <f t="shared" si="4"/>
        <v>0</v>
      </c>
      <c r="E60">
        <f t="shared" si="5"/>
        <v>4.0501909708754336E-2</v>
      </c>
      <c r="F60">
        <f t="shared" si="6"/>
        <v>0</v>
      </c>
      <c r="G60" t="str">
        <f t="shared" si="7"/>
        <v>KONTROL İÇİNDE</v>
      </c>
    </row>
    <row r="61" spans="1:7" x14ac:dyDescent="0.35">
      <c r="A61" s="21">
        <v>46126</v>
      </c>
      <c r="B61">
        <v>14</v>
      </c>
      <c r="C61">
        <v>0</v>
      </c>
      <c r="D61">
        <f t="shared" si="4"/>
        <v>0</v>
      </c>
      <c r="E61">
        <f t="shared" si="5"/>
        <v>6.6624129826486328E-2</v>
      </c>
      <c r="F61">
        <f t="shared" si="6"/>
        <v>0</v>
      </c>
      <c r="G61" t="str">
        <f t="shared" si="7"/>
        <v>KONTROL İÇİNDE</v>
      </c>
    </row>
    <row r="62" spans="1:7" x14ac:dyDescent="0.35">
      <c r="A62" s="21">
        <v>46127</v>
      </c>
      <c r="B62">
        <v>5</v>
      </c>
      <c r="C62">
        <v>0</v>
      </c>
      <c r="D62">
        <f t="shared" si="4"/>
        <v>0</v>
      </c>
      <c r="E62">
        <f t="shared" si="5"/>
        <v>0.1075847917421339</v>
      </c>
      <c r="F62">
        <f t="shared" si="6"/>
        <v>0</v>
      </c>
      <c r="G62" t="str">
        <f t="shared" si="7"/>
        <v>KONTROL İÇİNDE</v>
      </c>
    </row>
    <row r="63" spans="1:7" x14ac:dyDescent="0.35">
      <c r="A63" s="21">
        <v>46128</v>
      </c>
      <c r="B63">
        <v>53</v>
      </c>
      <c r="C63">
        <v>0</v>
      </c>
      <c r="D63">
        <f t="shared" si="4"/>
        <v>0</v>
      </c>
      <c r="E63">
        <f t="shared" si="5"/>
        <v>3.7056204502865661E-2</v>
      </c>
      <c r="F63">
        <f t="shared" si="6"/>
        <v>0</v>
      </c>
      <c r="G63" t="str">
        <f t="shared" si="7"/>
        <v>KONTROL İÇİNDE</v>
      </c>
    </row>
    <row r="64" spans="1:7" x14ac:dyDescent="0.35">
      <c r="A64" s="21">
        <v>46132</v>
      </c>
      <c r="B64">
        <v>8</v>
      </c>
      <c r="C64">
        <v>0</v>
      </c>
      <c r="D64">
        <f t="shared" si="4"/>
        <v>0</v>
      </c>
      <c r="E64">
        <f t="shared" si="5"/>
        <v>8.6265904205234584E-2</v>
      </c>
      <c r="F64">
        <f t="shared" si="6"/>
        <v>0</v>
      </c>
      <c r="G64" t="str">
        <f t="shared" si="7"/>
        <v>KONTROL İÇİNDE</v>
      </c>
    </row>
    <row r="65" spans="1:7" x14ac:dyDescent="0.35">
      <c r="A65" s="21">
        <v>46133</v>
      </c>
      <c r="B65">
        <v>19</v>
      </c>
      <c r="C65">
        <v>0</v>
      </c>
      <c r="D65">
        <f t="shared" si="4"/>
        <v>0</v>
      </c>
      <c r="E65">
        <f t="shared" si="5"/>
        <v>5.8009754804296869E-2</v>
      </c>
      <c r="F65">
        <f t="shared" si="6"/>
        <v>0</v>
      </c>
      <c r="G65" t="str">
        <f t="shared" si="7"/>
        <v>KONTROL İÇİNDE</v>
      </c>
    </row>
    <row r="66" spans="1:7" x14ac:dyDescent="0.35">
      <c r="A66" s="21">
        <v>46134</v>
      </c>
      <c r="B66">
        <v>2</v>
      </c>
      <c r="C66">
        <v>0</v>
      </c>
      <c r="D66">
        <f t="shared" ref="D66:D97" si="8">C66/B66</f>
        <v>0</v>
      </c>
      <c r="E66">
        <f t="shared" ref="E66:E97" si="9">$D$148+3*SQRT($D$148*(1-$D$148)/B66)</f>
        <v>0.16674154463178592</v>
      </c>
      <c r="F66">
        <f t="shared" ref="F66:F97" si="10">MAX(0,$D$148-3*SQRT($D$148*(1-$D$148)/B66))</f>
        <v>0</v>
      </c>
      <c r="G66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46136</v>
      </c>
      <c r="B67">
        <v>51</v>
      </c>
      <c r="C67">
        <v>0</v>
      </c>
      <c r="D67">
        <f t="shared" si="8"/>
        <v>0</v>
      </c>
      <c r="E67">
        <f t="shared" si="9"/>
        <v>3.7663366833812904E-2</v>
      </c>
      <c r="F67">
        <f t="shared" si="10"/>
        <v>0</v>
      </c>
      <c r="G67" t="str">
        <f t="shared" si="11"/>
        <v>KONTROL İÇİNDE</v>
      </c>
    </row>
    <row r="68" spans="1:7" x14ac:dyDescent="0.35">
      <c r="A68" s="21">
        <v>46139</v>
      </c>
      <c r="B68">
        <v>22</v>
      </c>
      <c r="C68">
        <v>0</v>
      </c>
      <c r="D68">
        <f t="shared" si="8"/>
        <v>0</v>
      </c>
      <c r="E68">
        <f t="shared" si="9"/>
        <v>5.4318900880215501E-2</v>
      </c>
      <c r="F68">
        <f t="shared" si="10"/>
        <v>0</v>
      </c>
      <c r="G68" t="str">
        <f t="shared" si="11"/>
        <v>KONTROL İÇİNDE</v>
      </c>
    </row>
    <row r="69" spans="1:7" x14ac:dyDescent="0.35">
      <c r="A69" s="21">
        <v>46140</v>
      </c>
      <c r="B69">
        <v>72</v>
      </c>
      <c r="C69">
        <v>0</v>
      </c>
      <c r="D69">
        <f t="shared" si="8"/>
        <v>0</v>
      </c>
      <c r="E69">
        <f t="shared" si="9"/>
        <v>3.2615477254200366E-2</v>
      </c>
      <c r="F69">
        <f t="shared" si="10"/>
        <v>0</v>
      </c>
      <c r="G69" t="str">
        <f t="shared" si="11"/>
        <v>KONTROL İÇİNDE</v>
      </c>
    </row>
    <row r="70" spans="1:7" x14ac:dyDescent="0.35">
      <c r="A70" s="21">
        <v>46141</v>
      </c>
      <c r="B70">
        <v>9</v>
      </c>
      <c r="C70">
        <v>0</v>
      </c>
      <c r="D70">
        <f t="shared" si="8"/>
        <v>0</v>
      </c>
      <c r="E70">
        <f t="shared" si="9"/>
        <v>8.1663425199942866E-2</v>
      </c>
      <c r="F70">
        <f t="shared" si="10"/>
        <v>0</v>
      </c>
      <c r="G70" t="str">
        <f t="shared" si="11"/>
        <v>KONTROL İÇİNDE</v>
      </c>
    </row>
    <row r="71" spans="1:7" x14ac:dyDescent="0.35">
      <c r="A71" s="21">
        <v>46142</v>
      </c>
      <c r="B71">
        <v>8</v>
      </c>
      <c r="C71">
        <v>0</v>
      </c>
      <c r="D71">
        <f t="shared" si="8"/>
        <v>0</v>
      </c>
      <c r="E71">
        <f t="shared" si="9"/>
        <v>8.6265904205234584E-2</v>
      </c>
      <c r="F71">
        <f t="shared" si="10"/>
        <v>0</v>
      </c>
      <c r="G71" t="str">
        <f t="shared" si="11"/>
        <v>KONTROL İÇİNDE</v>
      </c>
    </row>
    <row r="72" spans="1:7" x14ac:dyDescent="0.35">
      <c r="A72" s="21">
        <v>46147</v>
      </c>
      <c r="B72">
        <v>1</v>
      </c>
      <c r="C72">
        <v>0</v>
      </c>
      <c r="D72">
        <f t="shared" si="8"/>
        <v>0</v>
      </c>
      <c r="E72">
        <f t="shared" si="9"/>
        <v>0.23340974804246212</v>
      </c>
      <c r="F72">
        <f t="shared" si="10"/>
        <v>0</v>
      </c>
      <c r="G72" t="str">
        <f t="shared" si="11"/>
        <v>KONTROL İÇİNDE</v>
      </c>
    </row>
    <row r="73" spans="1:7" x14ac:dyDescent="0.35">
      <c r="A73" s="21">
        <v>46148</v>
      </c>
      <c r="B73">
        <v>5</v>
      </c>
      <c r="C73">
        <v>0</v>
      </c>
      <c r="D73">
        <f t="shared" si="8"/>
        <v>0</v>
      </c>
      <c r="E73">
        <f t="shared" si="9"/>
        <v>0.1075847917421339</v>
      </c>
      <c r="F73">
        <f t="shared" si="10"/>
        <v>0</v>
      </c>
      <c r="G73" t="str">
        <f t="shared" si="11"/>
        <v>KONTROL İÇİNDE</v>
      </c>
    </row>
    <row r="74" spans="1:7" x14ac:dyDescent="0.35">
      <c r="A74" s="21">
        <v>46149</v>
      </c>
      <c r="B74">
        <v>6</v>
      </c>
      <c r="C74">
        <v>0</v>
      </c>
      <c r="D74">
        <f t="shared" si="8"/>
        <v>0</v>
      </c>
      <c r="E74">
        <f t="shared" si="9"/>
        <v>9.8715529105637134E-2</v>
      </c>
      <c r="F74">
        <f t="shared" si="10"/>
        <v>0</v>
      </c>
      <c r="G74" t="str">
        <f t="shared" si="11"/>
        <v>KONTROL İÇİNDE</v>
      </c>
    </row>
    <row r="75" spans="1:7" x14ac:dyDescent="0.35">
      <c r="A75" s="21">
        <v>46150</v>
      </c>
      <c r="B75">
        <v>2</v>
      </c>
      <c r="C75">
        <v>0</v>
      </c>
      <c r="D75">
        <f t="shared" si="8"/>
        <v>0</v>
      </c>
      <c r="E75">
        <f t="shared" si="9"/>
        <v>0.16674154463178592</v>
      </c>
      <c r="F75">
        <f t="shared" si="10"/>
        <v>0</v>
      </c>
      <c r="G75" t="str">
        <f t="shared" si="11"/>
        <v>KONTROL İÇİNDE</v>
      </c>
    </row>
    <row r="76" spans="1:7" x14ac:dyDescent="0.35">
      <c r="A76" s="21">
        <v>46153</v>
      </c>
      <c r="B76">
        <v>1</v>
      </c>
      <c r="C76">
        <v>0</v>
      </c>
      <c r="D76">
        <f t="shared" si="8"/>
        <v>0</v>
      </c>
      <c r="E76">
        <f t="shared" si="9"/>
        <v>0.23340974804246212</v>
      </c>
      <c r="F76">
        <f t="shared" si="10"/>
        <v>0</v>
      </c>
      <c r="G76" t="str">
        <f t="shared" si="11"/>
        <v>KONTROL İÇİNDE</v>
      </c>
    </row>
    <row r="77" spans="1:7" x14ac:dyDescent="0.35">
      <c r="A77" s="21">
        <v>46156</v>
      </c>
      <c r="B77">
        <v>70</v>
      </c>
      <c r="C77">
        <v>0</v>
      </c>
      <c r="D77">
        <f t="shared" si="8"/>
        <v>0</v>
      </c>
      <c r="E77">
        <f t="shared" si="9"/>
        <v>3.2995995742084082E-2</v>
      </c>
      <c r="F77">
        <f t="shared" si="10"/>
        <v>0</v>
      </c>
      <c r="G77" t="str">
        <f t="shared" si="11"/>
        <v>KONTROL İÇİNDE</v>
      </c>
    </row>
    <row r="78" spans="1:7" x14ac:dyDescent="0.35">
      <c r="A78" s="21">
        <v>46160</v>
      </c>
      <c r="B78">
        <v>3</v>
      </c>
      <c r="C78">
        <v>0</v>
      </c>
      <c r="D78">
        <f t="shared" si="8"/>
        <v>0</v>
      </c>
      <c r="E78">
        <f t="shared" si="9"/>
        <v>0.13720643429117976</v>
      </c>
      <c r="F78">
        <f t="shared" si="10"/>
        <v>0</v>
      </c>
      <c r="G78" t="str">
        <f t="shared" si="11"/>
        <v>KONTROL İÇİNDE</v>
      </c>
    </row>
    <row r="79" spans="1:7" x14ac:dyDescent="0.35">
      <c r="A79" s="21">
        <v>46163</v>
      </c>
      <c r="B79">
        <v>100</v>
      </c>
      <c r="C79">
        <v>2</v>
      </c>
      <c r="D79">
        <f t="shared" si="8"/>
        <v>0.02</v>
      </c>
      <c r="E79">
        <f t="shared" si="9"/>
        <v>2.8552212205061139E-2</v>
      </c>
      <c r="F79">
        <f t="shared" si="10"/>
        <v>0</v>
      </c>
      <c r="G79" t="str">
        <f t="shared" si="11"/>
        <v>KONTROL İÇİNDE</v>
      </c>
    </row>
    <row r="80" spans="1:7" x14ac:dyDescent="0.35">
      <c r="A80" s="21">
        <v>46176</v>
      </c>
      <c r="B80">
        <v>8</v>
      </c>
      <c r="C80">
        <v>0</v>
      </c>
      <c r="D80">
        <f t="shared" si="8"/>
        <v>0</v>
      </c>
      <c r="E80">
        <f t="shared" si="9"/>
        <v>8.6265904205234584E-2</v>
      </c>
      <c r="F80">
        <f t="shared" si="10"/>
        <v>0</v>
      </c>
      <c r="G80" t="str">
        <f t="shared" si="11"/>
        <v>KONTROL İÇİNDE</v>
      </c>
    </row>
    <row r="81" spans="1:7" x14ac:dyDescent="0.35">
      <c r="A81" s="21">
        <v>46177</v>
      </c>
      <c r="B81">
        <v>18</v>
      </c>
      <c r="C81">
        <v>0</v>
      </c>
      <c r="D81">
        <f t="shared" si="8"/>
        <v>0</v>
      </c>
      <c r="E81">
        <f t="shared" si="9"/>
        <v>5.9440690729717478E-2</v>
      </c>
      <c r="F81">
        <f t="shared" si="10"/>
        <v>0</v>
      </c>
      <c r="G81" t="str">
        <f t="shared" si="11"/>
        <v>KONTROL İÇİNDE</v>
      </c>
    </row>
    <row r="82" spans="1:7" x14ac:dyDescent="0.35">
      <c r="A82" s="21">
        <v>46178</v>
      </c>
      <c r="B82">
        <v>6</v>
      </c>
      <c r="C82">
        <v>0</v>
      </c>
      <c r="D82">
        <f t="shared" si="8"/>
        <v>0</v>
      </c>
      <c r="E82">
        <f t="shared" si="9"/>
        <v>9.8715529105637134E-2</v>
      </c>
      <c r="F82">
        <f t="shared" si="10"/>
        <v>0</v>
      </c>
      <c r="G82" t="str">
        <f t="shared" si="11"/>
        <v>KONTROL İÇİNDE</v>
      </c>
    </row>
    <row r="83" spans="1:7" x14ac:dyDescent="0.35">
      <c r="A83" s="21">
        <v>46181</v>
      </c>
      <c r="B83">
        <v>35</v>
      </c>
      <c r="C83">
        <v>0</v>
      </c>
      <c r="D83">
        <f t="shared" si="8"/>
        <v>0</v>
      </c>
      <c r="E83">
        <f t="shared" si="9"/>
        <v>4.4264978895611921E-2</v>
      </c>
      <c r="F83">
        <f t="shared" si="10"/>
        <v>0</v>
      </c>
      <c r="G83" t="str">
        <f t="shared" si="11"/>
        <v>KONTROL İÇİNDE</v>
      </c>
    </row>
    <row r="84" spans="1:7" x14ac:dyDescent="0.35">
      <c r="A84" s="21">
        <v>46182</v>
      </c>
      <c r="B84">
        <v>13</v>
      </c>
      <c r="C84">
        <v>0</v>
      </c>
      <c r="D84">
        <f t="shared" si="8"/>
        <v>0</v>
      </c>
      <c r="E84">
        <f t="shared" si="9"/>
        <v>6.8920550071585041E-2</v>
      </c>
      <c r="F84">
        <f t="shared" si="10"/>
        <v>0</v>
      </c>
      <c r="G84" t="str">
        <f t="shared" si="11"/>
        <v>KONTROL İÇİNDE</v>
      </c>
    </row>
    <row r="85" spans="1:7" x14ac:dyDescent="0.35">
      <c r="A85" s="21">
        <v>46183</v>
      </c>
      <c r="B85">
        <v>67</v>
      </c>
      <c r="C85">
        <v>0</v>
      </c>
      <c r="D85">
        <f t="shared" si="8"/>
        <v>0</v>
      </c>
      <c r="E85">
        <f t="shared" si="9"/>
        <v>3.3598409695857874E-2</v>
      </c>
      <c r="F85">
        <f t="shared" si="10"/>
        <v>0</v>
      </c>
      <c r="G85" t="str">
        <f t="shared" si="11"/>
        <v>KONTROL İÇİNDE</v>
      </c>
    </row>
    <row r="86" spans="1:7" x14ac:dyDescent="0.35">
      <c r="A86" s="21">
        <v>46184</v>
      </c>
      <c r="B86">
        <v>147</v>
      </c>
      <c r="C86">
        <v>0</v>
      </c>
      <c r="D86">
        <f t="shared" si="8"/>
        <v>0</v>
      </c>
      <c r="E86">
        <f t="shared" si="9"/>
        <v>2.4564002423325609E-2</v>
      </c>
      <c r="F86">
        <f t="shared" si="10"/>
        <v>0</v>
      </c>
      <c r="G86" t="str">
        <f t="shared" si="11"/>
        <v>KONTROL İÇİNDE</v>
      </c>
    </row>
    <row r="87" spans="1:7" x14ac:dyDescent="0.35">
      <c r="A87" s="21">
        <v>46185</v>
      </c>
      <c r="B87">
        <v>4</v>
      </c>
      <c r="C87">
        <v>0</v>
      </c>
      <c r="D87">
        <f t="shared" si="8"/>
        <v>0</v>
      </c>
      <c r="E87">
        <f t="shared" si="9"/>
        <v>0.11960000591057268</v>
      </c>
      <c r="F87">
        <f t="shared" si="10"/>
        <v>0</v>
      </c>
      <c r="G87" t="str">
        <f t="shared" si="11"/>
        <v>KONTROL İÇİNDE</v>
      </c>
    </row>
    <row r="88" spans="1:7" x14ac:dyDescent="0.35">
      <c r="A88" s="21">
        <v>46186</v>
      </c>
      <c r="B88">
        <v>30</v>
      </c>
      <c r="C88">
        <v>1</v>
      </c>
      <c r="D88">
        <f t="shared" si="8"/>
        <v>3.3333333333333333E-2</v>
      </c>
      <c r="E88">
        <f t="shared" si="9"/>
        <v>4.7347705798337879E-2</v>
      </c>
      <c r="F88">
        <f t="shared" si="10"/>
        <v>0</v>
      </c>
      <c r="G88" t="str">
        <f t="shared" si="11"/>
        <v>KONTROL İÇİNDE</v>
      </c>
    </row>
    <row r="89" spans="1:7" x14ac:dyDescent="0.35">
      <c r="A89" s="21">
        <v>46188</v>
      </c>
      <c r="B89">
        <v>5</v>
      </c>
      <c r="C89">
        <v>0</v>
      </c>
      <c r="D89">
        <f t="shared" si="8"/>
        <v>0</v>
      </c>
      <c r="E89">
        <f t="shared" si="9"/>
        <v>0.1075847917421339</v>
      </c>
      <c r="F89">
        <f t="shared" si="10"/>
        <v>0</v>
      </c>
      <c r="G89" t="str">
        <f t="shared" si="11"/>
        <v>KONTROL İÇİNDE</v>
      </c>
    </row>
    <row r="90" spans="1:7" x14ac:dyDescent="0.35">
      <c r="A90" s="21">
        <v>46189</v>
      </c>
      <c r="B90">
        <v>19</v>
      </c>
      <c r="C90">
        <v>0</v>
      </c>
      <c r="D90">
        <f t="shared" si="8"/>
        <v>0</v>
      </c>
      <c r="E90">
        <f t="shared" si="9"/>
        <v>5.8009754804296869E-2</v>
      </c>
      <c r="F90">
        <f t="shared" si="10"/>
        <v>0</v>
      </c>
      <c r="G90" t="str">
        <f t="shared" si="11"/>
        <v>KONTROL İÇİNDE</v>
      </c>
    </row>
    <row r="91" spans="1:7" x14ac:dyDescent="0.35">
      <c r="A91" s="21">
        <v>46190</v>
      </c>
      <c r="B91">
        <v>9</v>
      </c>
      <c r="C91">
        <v>0</v>
      </c>
      <c r="D91">
        <f t="shared" si="8"/>
        <v>0</v>
      </c>
      <c r="E91">
        <f t="shared" si="9"/>
        <v>8.1663425199942866E-2</v>
      </c>
      <c r="F91">
        <f t="shared" si="10"/>
        <v>0</v>
      </c>
      <c r="G91" t="str">
        <f t="shared" si="11"/>
        <v>KONTROL İÇİNDE</v>
      </c>
    </row>
    <row r="92" spans="1:7" x14ac:dyDescent="0.35">
      <c r="A92" s="21">
        <v>46191</v>
      </c>
      <c r="B92">
        <v>7</v>
      </c>
      <c r="C92">
        <v>0</v>
      </c>
      <c r="D92">
        <f t="shared" si="8"/>
        <v>0</v>
      </c>
      <c r="E92">
        <f t="shared" si="9"/>
        <v>9.1822342195074513E-2</v>
      </c>
      <c r="F92">
        <f t="shared" si="10"/>
        <v>0</v>
      </c>
      <c r="G92" t="str">
        <f t="shared" si="11"/>
        <v>KONTROL İÇİNDE</v>
      </c>
    </row>
    <row r="93" spans="1:7" x14ac:dyDescent="0.35">
      <c r="A93" s="21">
        <v>46192</v>
      </c>
      <c r="B93">
        <v>55</v>
      </c>
      <c r="C93">
        <v>1</v>
      </c>
      <c r="D93">
        <f t="shared" si="8"/>
        <v>1.8181818181818181E-2</v>
      </c>
      <c r="E93">
        <f t="shared" si="9"/>
        <v>3.648246877560201E-2</v>
      </c>
      <c r="F93">
        <f t="shared" si="10"/>
        <v>0</v>
      </c>
      <c r="G93" t="str">
        <f t="shared" si="11"/>
        <v>KONTROL İÇİNDE</v>
      </c>
    </row>
    <row r="94" spans="1:7" x14ac:dyDescent="0.35">
      <c r="A94" s="21">
        <v>46195</v>
      </c>
      <c r="B94">
        <v>3</v>
      </c>
      <c r="C94">
        <v>0</v>
      </c>
      <c r="D94">
        <f t="shared" si="8"/>
        <v>0</v>
      </c>
      <c r="E94">
        <f t="shared" si="9"/>
        <v>0.13720643429117976</v>
      </c>
      <c r="F94">
        <f t="shared" si="10"/>
        <v>0</v>
      </c>
      <c r="G94" t="str">
        <f t="shared" si="11"/>
        <v>KONTROL İÇİNDE</v>
      </c>
    </row>
    <row r="95" spans="1:7" x14ac:dyDescent="0.35">
      <c r="A95" s="21">
        <v>46196</v>
      </c>
      <c r="B95">
        <v>68</v>
      </c>
      <c r="C95">
        <v>0</v>
      </c>
      <c r="D95">
        <f t="shared" si="8"/>
        <v>0</v>
      </c>
      <c r="E95">
        <f t="shared" si="9"/>
        <v>3.3393180721864937E-2</v>
      </c>
      <c r="F95">
        <f t="shared" si="10"/>
        <v>0</v>
      </c>
      <c r="G95" t="str">
        <f t="shared" si="11"/>
        <v>KONTROL İÇİNDE</v>
      </c>
    </row>
    <row r="96" spans="1:7" x14ac:dyDescent="0.35">
      <c r="A96" s="21">
        <v>46197</v>
      </c>
      <c r="B96">
        <v>12</v>
      </c>
      <c r="C96">
        <v>0</v>
      </c>
      <c r="D96">
        <f t="shared" si="8"/>
        <v>0</v>
      </c>
      <c r="E96">
        <f t="shared" si="9"/>
        <v>7.1498349034931505E-2</v>
      </c>
      <c r="F96">
        <f t="shared" si="10"/>
        <v>0</v>
      </c>
      <c r="G96" t="str">
        <f t="shared" si="11"/>
        <v>KONTROL İÇİNDE</v>
      </c>
    </row>
    <row r="97" spans="1:7" x14ac:dyDescent="0.35">
      <c r="A97" s="21">
        <v>46198</v>
      </c>
      <c r="B97">
        <v>47</v>
      </c>
      <c r="C97">
        <v>0</v>
      </c>
      <c r="D97">
        <f t="shared" si="8"/>
        <v>0</v>
      </c>
      <c r="E97">
        <f t="shared" si="9"/>
        <v>3.8991977915574502E-2</v>
      </c>
      <c r="F97">
        <f t="shared" si="10"/>
        <v>0</v>
      </c>
      <c r="G97" t="str">
        <f t="shared" si="11"/>
        <v>KONTROL İÇİNDE</v>
      </c>
    </row>
    <row r="98" spans="1:7" x14ac:dyDescent="0.35">
      <c r="A98" s="21">
        <v>46199</v>
      </c>
      <c r="B98">
        <v>70</v>
      </c>
      <c r="C98">
        <v>1</v>
      </c>
      <c r="D98">
        <f t="shared" ref="D98:D129" si="12">C98/B98</f>
        <v>1.4285714285714285E-2</v>
      </c>
      <c r="E98">
        <f t="shared" ref="E98:E129" si="13">$D$148+3*SQRT($D$148*(1-$D$148)/B98)</f>
        <v>3.2995995742084082E-2</v>
      </c>
      <c r="F98">
        <f t="shared" ref="F98:F129" si="14">MAX(0,$D$148-3*SQRT($D$148*(1-$D$148)/B98))</f>
        <v>0</v>
      </c>
      <c r="G98" t="str">
        <f t="shared" ref="G98:G129" si="15">IF(AND(D98&lt;=E98,D98&gt;=F98),"KONTROL İÇİNDE"," KONTROL DIŞINDA")</f>
        <v>KONTROL İÇİNDE</v>
      </c>
    </row>
    <row r="99" spans="1:7" x14ac:dyDescent="0.35">
      <c r="A99" s="21">
        <v>46203</v>
      </c>
      <c r="B99">
        <v>12</v>
      </c>
      <c r="C99">
        <v>0</v>
      </c>
      <c r="D99">
        <f t="shared" si="12"/>
        <v>0</v>
      </c>
      <c r="E99">
        <f t="shared" si="13"/>
        <v>7.1498349034931505E-2</v>
      </c>
      <c r="F99">
        <f t="shared" si="14"/>
        <v>0</v>
      </c>
      <c r="G99" t="str">
        <f t="shared" si="15"/>
        <v>KONTROL İÇİNDE</v>
      </c>
    </row>
    <row r="100" spans="1:7" x14ac:dyDescent="0.35">
      <c r="A100" s="21">
        <v>46205</v>
      </c>
      <c r="B100">
        <v>16</v>
      </c>
      <c r="C100">
        <v>0</v>
      </c>
      <c r="D100">
        <f t="shared" si="12"/>
        <v>0</v>
      </c>
      <c r="E100">
        <f t="shared" si="13"/>
        <v>6.2695134844627964E-2</v>
      </c>
      <c r="F100">
        <f t="shared" si="14"/>
        <v>0</v>
      </c>
      <c r="G100" t="str">
        <f t="shared" si="15"/>
        <v>KONTROL İÇİNDE</v>
      </c>
    </row>
    <row r="101" spans="1:7" x14ac:dyDescent="0.35">
      <c r="A101" s="21">
        <v>46206</v>
      </c>
      <c r="B101">
        <v>27</v>
      </c>
      <c r="C101">
        <v>0</v>
      </c>
      <c r="D101">
        <f t="shared" si="12"/>
        <v>0</v>
      </c>
      <c r="E101">
        <f t="shared" si="13"/>
        <v>4.9595653949515421E-2</v>
      </c>
      <c r="F101">
        <f t="shared" si="14"/>
        <v>0</v>
      </c>
      <c r="G101" t="str">
        <f t="shared" si="15"/>
        <v>KONTROL İÇİNDE</v>
      </c>
    </row>
    <row r="102" spans="1:7" x14ac:dyDescent="0.35">
      <c r="A102" s="21">
        <v>46207</v>
      </c>
      <c r="B102">
        <v>224</v>
      </c>
      <c r="C102">
        <v>0</v>
      </c>
      <c r="D102">
        <f t="shared" si="12"/>
        <v>0</v>
      </c>
      <c r="E102">
        <f t="shared" si="13"/>
        <v>2.099873029063402E-2</v>
      </c>
      <c r="F102">
        <f t="shared" si="14"/>
        <v>0</v>
      </c>
      <c r="G102" t="str">
        <f t="shared" si="15"/>
        <v>KONTROL İÇİNDE</v>
      </c>
    </row>
    <row r="103" spans="1:7" x14ac:dyDescent="0.35">
      <c r="A103" s="21">
        <v>46209</v>
      </c>
      <c r="B103">
        <v>24</v>
      </c>
      <c r="C103">
        <v>0</v>
      </c>
      <c r="D103">
        <f t="shared" si="12"/>
        <v>0</v>
      </c>
      <c r="E103">
        <f t="shared" si="13"/>
        <v>5.2252896442160197E-2</v>
      </c>
      <c r="F103">
        <f t="shared" si="14"/>
        <v>0</v>
      </c>
      <c r="G103" t="str">
        <f t="shared" si="15"/>
        <v>KONTROL İÇİNDE</v>
      </c>
    </row>
    <row r="104" spans="1:7" x14ac:dyDescent="0.35">
      <c r="A104" s="21">
        <v>46210</v>
      </c>
      <c r="B104">
        <v>11</v>
      </c>
      <c r="C104">
        <v>0</v>
      </c>
      <c r="D104">
        <f t="shared" si="12"/>
        <v>0</v>
      </c>
      <c r="E104">
        <f t="shared" si="13"/>
        <v>7.4420120531152323E-2</v>
      </c>
      <c r="F104">
        <f t="shared" si="14"/>
        <v>0</v>
      </c>
      <c r="G104" t="str">
        <f t="shared" si="15"/>
        <v>KONTROL İÇİNDE</v>
      </c>
    </row>
    <row r="105" spans="1:7" x14ac:dyDescent="0.35">
      <c r="A105" s="21">
        <v>46211</v>
      </c>
      <c r="B105">
        <v>60</v>
      </c>
      <c r="C105">
        <v>0</v>
      </c>
      <c r="D105">
        <f t="shared" si="12"/>
        <v>0</v>
      </c>
      <c r="E105">
        <f t="shared" si="13"/>
        <v>3.5175812839547814E-2</v>
      </c>
      <c r="F105">
        <f t="shared" si="14"/>
        <v>0</v>
      </c>
      <c r="G105" t="str">
        <f t="shared" si="15"/>
        <v>KONTROL İÇİNDE</v>
      </c>
    </row>
    <row r="106" spans="1:7" x14ac:dyDescent="0.35">
      <c r="A106" s="21">
        <v>46212</v>
      </c>
      <c r="B106">
        <v>41</v>
      </c>
      <c r="C106">
        <v>0</v>
      </c>
      <c r="D106">
        <f t="shared" si="12"/>
        <v>0</v>
      </c>
      <c r="E106">
        <f t="shared" si="13"/>
        <v>4.133845491530197E-2</v>
      </c>
      <c r="F106">
        <f t="shared" si="14"/>
        <v>0</v>
      </c>
      <c r="G106" t="str">
        <f t="shared" si="15"/>
        <v>KONTROL İÇİNDE</v>
      </c>
    </row>
    <row r="107" spans="1:7" x14ac:dyDescent="0.35">
      <c r="A107" s="21">
        <v>46213</v>
      </c>
      <c r="B107">
        <v>4</v>
      </c>
      <c r="C107">
        <v>0</v>
      </c>
      <c r="D107">
        <f t="shared" si="12"/>
        <v>0</v>
      </c>
      <c r="E107">
        <f t="shared" si="13"/>
        <v>0.11960000591057268</v>
      </c>
      <c r="F107">
        <f t="shared" si="14"/>
        <v>0</v>
      </c>
      <c r="G107" t="str">
        <f t="shared" si="15"/>
        <v>KONTROL İÇİNDE</v>
      </c>
    </row>
    <row r="108" spans="1:7" x14ac:dyDescent="0.35">
      <c r="A108" s="21">
        <v>46216</v>
      </c>
      <c r="B108">
        <v>3</v>
      </c>
      <c r="C108">
        <v>0</v>
      </c>
      <c r="D108">
        <f t="shared" si="12"/>
        <v>0</v>
      </c>
      <c r="E108">
        <f t="shared" si="13"/>
        <v>0.13720643429117976</v>
      </c>
      <c r="F108">
        <f t="shared" si="14"/>
        <v>0</v>
      </c>
      <c r="G108" t="str">
        <f t="shared" si="15"/>
        <v>KONTROL İÇİNDE</v>
      </c>
    </row>
    <row r="109" spans="1:7" x14ac:dyDescent="0.35">
      <c r="A109" s="21">
        <v>46217</v>
      </c>
      <c r="B109">
        <v>8</v>
      </c>
      <c r="C109">
        <v>0</v>
      </c>
      <c r="D109">
        <f t="shared" si="12"/>
        <v>0</v>
      </c>
      <c r="E109">
        <f t="shared" si="13"/>
        <v>8.6265904205234584E-2</v>
      </c>
      <c r="F109">
        <f t="shared" si="14"/>
        <v>0</v>
      </c>
      <c r="G109" t="str">
        <f t="shared" si="15"/>
        <v>KONTROL İÇİNDE</v>
      </c>
    </row>
    <row r="110" spans="1:7" x14ac:dyDescent="0.35">
      <c r="A110" s="21">
        <v>46219</v>
      </c>
      <c r="B110">
        <v>40</v>
      </c>
      <c r="C110">
        <v>0</v>
      </c>
      <c r="D110">
        <f t="shared" si="12"/>
        <v>0</v>
      </c>
      <c r="E110">
        <f t="shared" si="13"/>
        <v>4.1780064284003042E-2</v>
      </c>
      <c r="F110">
        <f t="shared" si="14"/>
        <v>0</v>
      </c>
      <c r="G110" t="str">
        <f t="shared" si="15"/>
        <v>KONTROL İÇİNDE</v>
      </c>
    </row>
    <row r="111" spans="1:7" x14ac:dyDescent="0.35">
      <c r="A111" s="21">
        <v>46220</v>
      </c>
      <c r="B111">
        <v>9</v>
      </c>
      <c r="C111">
        <v>0</v>
      </c>
      <c r="D111">
        <f t="shared" si="12"/>
        <v>0</v>
      </c>
      <c r="E111">
        <f t="shared" si="13"/>
        <v>8.1663425199942866E-2</v>
      </c>
      <c r="F111">
        <f t="shared" si="14"/>
        <v>0</v>
      </c>
      <c r="G111" t="str">
        <f t="shared" si="15"/>
        <v>KONTROL İÇİNDE</v>
      </c>
    </row>
    <row r="112" spans="1:7" x14ac:dyDescent="0.35">
      <c r="A112" s="21">
        <v>46221</v>
      </c>
      <c r="B112">
        <v>3</v>
      </c>
      <c r="C112">
        <v>0</v>
      </c>
      <c r="D112">
        <f t="shared" si="12"/>
        <v>0</v>
      </c>
      <c r="E112">
        <f t="shared" si="13"/>
        <v>0.13720643429117976</v>
      </c>
      <c r="F112">
        <f t="shared" si="14"/>
        <v>0</v>
      </c>
      <c r="G112" t="str">
        <f t="shared" si="15"/>
        <v>KONTROL İÇİNDE</v>
      </c>
    </row>
    <row r="113" spans="1:7" x14ac:dyDescent="0.35">
      <c r="A113" s="21">
        <v>46223</v>
      </c>
      <c r="B113">
        <v>42</v>
      </c>
      <c r="C113">
        <v>0</v>
      </c>
      <c r="D113">
        <f t="shared" si="12"/>
        <v>0</v>
      </c>
      <c r="E113">
        <f t="shared" si="13"/>
        <v>4.0912712717227996E-2</v>
      </c>
      <c r="F113">
        <f t="shared" si="14"/>
        <v>0</v>
      </c>
      <c r="G113" t="str">
        <f t="shared" si="15"/>
        <v>KONTROL İÇİNDE</v>
      </c>
    </row>
    <row r="114" spans="1:7" x14ac:dyDescent="0.35">
      <c r="A114" s="21">
        <v>46224</v>
      </c>
      <c r="B114">
        <v>172</v>
      </c>
      <c r="C114">
        <v>0</v>
      </c>
      <c r="D114">
        <f t="shared" si="12"/>
        <v>0</v>
      </c>
      <c r="E114">
        <f t="shared" si="13"/>
        <v>2.3146086743718791E-2</v>
      </c>
      <c r="F114">
        <f t="shared" si="14"/>
        <v>0</v>
      </c>
      <c r="G114" t="str">
        <f t="shared" si="15"/>
        <v>KONTROL İÇİNDE</v>
      </c>
    </row>
    <row r="115" spans="1:7" x14ac:dyDescent="0.35">
      <c r="A115" s="21">
        <v>46225</v>
      </c>
      <c r="B115">
        <v>4</v>
      </c>
      <c r="C115">
        <v>0</v>
      </c>
      <c r="D115">
        <f t="shared" si="12"/>
        <v>0</v>
      </c>
      <c r="E115">
        <f t="shared" si="13"/>
        <v>0.11960000591057268</v>
      </c>
      <c r="F115">
        <f t="shared" si="14"/>
        <v>0</v>
      </c>
      <c r="G115" t="str">
        <f t="shared" si="15"/>
        <v>KONTROL İÇİNDE</v>
      </c>
    </row>
    <row r="116" spans="1:7" x14ac:dyDescent="0.35">
      <c r="A116" s="21">
        <v>46226</v>
      </c>
      <c r="B116">
        <v>24</v>
      </c>
      <c r="C116">
        <v>0</v>
      </c>
      <c r="D116">
        <f t="shared" si="12"/>
        <v>0</v>
      </c>
      <c r="E116">
        <f t="shared" si="13"/>
        <v>5.2252896442160197E-2</v>
      </c>
      <c r="F116">
        <f t="shared" si="14"/>
        <v>0</v>
      </c>
      <c r="G116" t="str">
        <f t="shared" si="15"/>
        <v>KONTROL İÇİNDE</v>
      </c>
    </row>
    <row r="117" spans="1:7" x14ac:dyDescent="0.35">
      <c r="A117" s="21">
        <v>46227</v>
      </c>
      <c r="B117">
        <v>22</v>
      </c>
      <c r="C117">
        <v>0</v>
      </c>
      <c r="D117">
        <f t="shared" si="12"/>
        <v>0</v>
      </c>
      <c r="E117">
        <f t="shared" si="13"/>
        <v>5.4318900880215501E-2</v>
      </c>
      <c r="F117">
        <f t="shared" si="14"/>
        <v>0</v>
      </c>
      <c r="G117" t="str">
        <f t="shared" si="15"/>
        <v>KONTROL İÇİNDE</v>
      </c>
    </row>
    <row r="118" spans="1:7" x14ac:dyDescent="0.35">
      <c r="A118" s="21">
        <v>46228</v>
      </c>
      <c r="B118">
        <v>2</v>
      </c>
      <c r="C118">
        <v>0</v>
      </c>
      <c r="D118">
        <f t="shared" si="12"/>
        <v>0</v>
      </c>
      <c r="E118">
        <f t="shared" si="13"/>
        <v>0.16674154463178592</v>
      </c>
      <c r="F118">
        <f t="shared" si="14"/>
        <v>0</v>
      </c>
      <c r="G118" t="str">
        <f t="shared" si="15"/>
        <v>KONTROL İÇİNDE</v>
      </c>
    </row>
    <row r="119" spans="1:7" x14ac:dyDescent="0.35">
      <c r="A119" s="21">
        <v>46229</v>
      </c>
      <c r="B119">
        <v>1</v>
      </c>
      <c r="C119">
        <v>0</v>
      </c>
      <c r="D119">
        <f t="shared" si="12"/>
        <v>0</v>
      </c>
      <c r="E119">
        <f t="shared" si="13"/>
        <v>0.23340974804246212</v>
      </c>
      <c r="F119">
        <f t="shared" si="14"/>
        <v>0</v>
      </c>
      <c r="G119" t="str">
        <f t="shared" si="15"/>
        <v>KONTROL İÇİNDE</v>
      </c>
    </row>
    <row r="120" spans="1:7" x14ac:dyDescent="0.35">
      <c r="A120" s="21">
        <v>46230</v>
      </c>
      <c r="B120">
        <v>30</v>
      </c>
      <c r="C120">
        <v>0</v>
      </c>
      <c r="D120">
        <f t="shared" si="12"/>
        <v>0</v>
      </c>
      <c r="E120">
        <f t="shared" si="13"/>
        <v>4.7347705798337879E-2</v>
      </c>
      <c r="F120">
        <f t="shared" si="14"/>
        <v>0</v>
      </c>
      <c r="G120" t="str">
        <f t="shared" si="15"/>
        <v>KONTROL İÇİNDE</v>
      </c>
    </row>
    <row r="121" spans="1:7" x14ac:dyDescent="0.35">
      <c r="A121" s="21">
        <v>46231</v>
      </c>
      <c r="B121">
        <v>7</v>
      </c>
      <c r="C121">
        <v>0</v>
      </c>
      <c r="D121">
        <f t="shared" si="12"/>
        <v>0</v>
      </c>
      <c r="E121">
        <f t="shared" si="13"/>
        <v>9.1822342195074513E-2</v>
      </c>
      <c r="F121">
        <f t="shared" si="14"/>
        <v>0</v>
      </c>
      <c r="G121" t="str">
        <f t="shared" si="15"/>
        <v>KONTROL İÇİNDE</v>
      </c>
    </row>
    <row r="122" spans="1:7" x14ac:dyDescent="0.35">
      <c r="A122" s="21">
        <v>46232</v>
      </c>
      <c r="B122">
        <v>20</v>
      </c>
      <c r="C122">
        <v>0</v>
      </c>
      <c r="D122">
        <f t="shared" si="12"/>
        <v>0</v>
      </c>
      <c r="E122">
        <f t="shared" si="13"/>
        <v>5.6687527760408578E-2</v>
      </c>
      <c r="F122">
        <f t="shared" si="14"/>
        <v>0</v>
      </c>
      <c r="G122" t="str">
        <f t="shared" si="15"/>
        <v>KONTROL İÇİNDE</v>
      </c>
    </row>
    <row r="123" spans="1:7" x14ac:dyDescent="0.35">
      <c r="A123" s="21">
        <v>46233</v>
      </c>
      <c r="B123">
        <v>20</v>
      </c>
      <c r="C123">
        <v>0</v>
      </c>
      <c r="D123">
        <f t="shared" si="12"/>
        <v>0</v>
      </c>
      <c r="E123">
        <f t="shared" si="13"/>
        <v>5.6687527760408578E-2</v>
      </c>
      <c r="F123">
        <f t="shared" si="14"/>
        <v>0</v>
      </c>
      <c r="G123" t="str">
        <f t="shared" si="15"/>
        <v>KONTROL İÇİNDE</v>
      </c>
    </row>
    <row r="124" spans="1:7" x14ac:dyDescent="0.35">
      <c r="A124" s="21">
        <v>46234</v>
      </c>
      <c r="B124">
        <v>36</v>
      </c>
      <c r="C124">
        <v>0</v>
      </c>
      <c r="D124">
        <f t="shared" si="12"/>
        <v>0</v>
      </c>
      <c r="E124">
        <f t="shared" si="13"/>
        <v>4.3726844489313063E-2</v>
      </c>
      <c r="F124">
        <f t="shared" si="14"/>
        <v>0</v>
      </c>
      <c r="G124" t="str">
        <f t="shared" si="15"/>
        <v>KONTROL İÇİNDE</v>
      </c>
    </row>
    <row r="125" spans="1:7" x14ac:dyDescent="0.35">
      <c r="A125" s="21">
        <v>46237</v>
      </c>
      <c r="B125">
        <v>4</v>
      </c>
      <c r="C125">
        <v>0</v>
      </c>
      <c r="D125">
        <f t="shared" si="12"/>
        <v>0</v>
      </c>
      <c r="E125">
        <f t="shared" si="13"/>
        <v>0.11960000591057268</v>
      </c>
      <c r="F125">
        <f t="shared" si="14"/>
        <v>0</v>
      </c>
      <c r="G125" t="str">
        <f t="shared" si="15"/>
        <v>KONTROL İÇİNDE</v>
      </c>
    </row>
    <row r="126" spans="1:7" x14ac:dyDescent="0.35">
      <c r="A126" s="21">
        <v>46238</v>
      </c>
      <c r="B126">
        <v>8</v>
      </c>
      <c r="C126">
        <v>0</v>
      </c>
      <c r="D126">
        <f t="shared" si="12"/>
        <v>0</v>
      </c>
      <c r="E126">
        <f t="shared" si="13"/>
        <v>8.6265904205234584E-2</v>
      </c>
      <c r="F126">
        <f t="shared" si="14"/>
        <v>0</v>
      </c>
      <c r="G126" t="str">
        <f t="shared" si="15"/>
        <v>KONTROL İÇİNDE</v>
      </c>
    </row>
    <row r="127" spans="1:7" x14ac:dyDescent="0.35">
      <c r="A127" s="21">
        <v>46239</v>
      </c>
      <c r="B127">
        <v>168</v>
      </c>
      <c r="C127">
        <v>0</v>
      </c>
      <c r="D127">
        <f t="shared" si="12"/>
        <v>0</v>
      </c>
      <c r="E127">
        <f t="shared" si="13"/>
        <v>2.3351488247955621E-2</v>
      </c>
      <c r="F127">
        <f t="shared" si="14"/>
        <v>0</v>
      </c>
      <c r="G127" t="str">
        <f t="shared" si="15"/>
        <v>KONTROL İÇİNDE</v>
      </c>
    </row>
    <row r="128" spans="1:7" x14ac:dyDescent="0.35">
      <c r="A128" s="21">
        <v>46240</v>
      </c>
      <c r="B128">
        <v>73</v>
      </c>
      <c r="C128">
        <v>0</v>
      </c>
      <c r="D128">
        <f t="shared" si="12"/>
        <v>0</v>
      </c>
      <c r="E128">
        <f t="shared" si="13"/>
        <v>3.2431109341107517E-2</v>
      </c>
      <c r="F128">
        <f t="shared" si="14"/>
        <v>0</v>
      </c>
      <c r="G128" t="str">
        <f t="shared" si="15"/>
        <v>KONTROL İÇİNDE</v>
      </c>
    </row>
    <row r="129" spans="1:7" x14ac:dyDescent="0.35">
      <c r="A129" s="21">
        <v>46241</v>
      </c>
      <c r="B129">
        <v>34</v>
      </c>
      <c r="C129">
        <v>0</v>
      </c>
      <c r="D129">
        <f t="shared" si="12"/>
        <v>0</v>
      </c>
      <c r="E129">
        <f t="shared" si="13"/>
        <v>4.4826683280788884E-2</v>
      </c>
      <c r="F129">
        <f t="shared" si="14"/>
        <v>0</v>
      </c>
      <c r="G129" t="str">
        <f t="shared" si="15"/>
        <v>KONTROL İÇİNDE</v>
      </c>
    </row>
    <row r="130" spans="1:7" x14ac:dyDescent="0.35">
      <c r="A130" s="21">
        <v>46242</v>
      </c>
      <c r="B130">
        <v>1</v>
      </c>
      <c r="C130">
        <v>0</v>
      </c>
      <c r="D130">
        <f t="shared" ref="D130:D148" si="16">C130/B130</f>
        <v>0</v>
      </c>
      <c r="E130">
        <f t="shared" ref="E130:E147" si="17">$D$148+3*SQRT($D$148*(1-$D$148)/B130)</f>
        <v>0.23340974804246212</v>
      </c>
      <c r="F130">
        <f t="shared" ref="F130:F147" si="18">MAX(0,$D$148-3*SQRT($D$148*(1-$D$148)/B130))</f>
        <v>0</v>
      </c>
      <c r="G130" t="str">
        <f t="shared" ref="G130:G147" si="19">IF(AND(D130&lt;=E130,D130&gt;=F130),"KONTROL İÇİNDE"," KONTROL DIŞINDA")</f>
        <v>KONTROL İÇİNDE</v>
      </c>
    </row>
    <row r="131" spans="1:7" x14ac:dyDescent="0.35">
      <c r="A131" s="21">
        <v>46244</v>
      </c>
      <c r="B131">
        <v>22</v>
      </c>
      <c r="C131">
        <v>0</v>
      </c>
      <c r="D131">
        <f t="shared" si="16"/>
        <v>0</v>
      </c>
      <c r="E131">
        <f t="shared" si="17"/>
        <v>5.4318900880215501E-2</v>
      </c>
      <c r="F131">
        <f t="shared" si="18"/>
        <v>0</v>
      </c>
      <c r="G131" t="str">
        <f t="shared" si="19"/>
        <v>KONTROL İÇİNDE</v>
      </c>
    </row>
    <row r="132" spans="1:7" x14ac:dyDescent="0.35">
      <c r="A132" s="21">
        <v>46245</v>
      </c>
      <c r="B132">
        <v>35</v>
      </c>
      <c r="C132">
        <v>0</v>
      </c>
      <c r="D132">
        <f t="shared" si="16"/>
        <v>0</v>
      </c>
      <c r="E132">
        <f t="shared" si="17"/>
        <v>4.4264978895611921E-2</v>
      </c>
      <c r="F132">
        <f t="shared" si="18"/>
        <v>0</v>
      </c>
      <c r="G132" t="str">
        <f t="shared" si="19"/>
        <v>KONTROL İÇİNDE</v>
      </c>
    </row>
    <row r="133" spans="1:7" x14ac:dyDescent="0.35">
      <c r="A133" s="21">
        <v>46246</v>
      </c>
      <c r="B133">
        <v>175</v>
      </c>
      <c r="C133">
        <v>0</v>
      </c>
      <c r="D133">
        <f t="shared" si="16"/>
        <v>0</v>
      </c>
      <c r="E133">
        <f t="shared" si="17"/>
        <v>2.2996679461961503E-2</v>
      </c>
      <c r="F133">
        <f t="shared" si="18"/>
        <v>0</v>
      </c>
      <c r="G133" t="str">
        <f t="shared" si="19"/>
        <v>KONTROL İÇİNDE</v>
      </c>
    </row>
    <row r="134" spans="1:7" x14ac:dyDescent="0.35">
      <c r="A134" s="21">
        <v>46247</v>
      </c>
      <c r="B134">
        <v>9</v>
      </c>
      <c r="C134">
        <v>0</v>
      </c>
      <c r="D134">
        <f t="shared" si="16"/>
        <v>0</v>
      </c>
      <c r="E134">
        <f t="shared" si="17"/>
        <v>8.1663425199942866E-2</v>
      </c>
      <c r="F134">
        <f t="shared" si="18"/>
        <v>0</v>
      </c>
      <c r="G134" t="str">
        <f t="shared" si="19"/>
        <v>KONTROL İÇİNDE</v>
      </c>
    </row>
    <row r="135" spans="1:7" x14ac:dyDescent="0.35">
      <c r="A135" s="21">
        <v>46248</v>
      </c>
      <c r="B135">
        <v>30</v>
      </c>
      <c r="C135">
        <v>0</v>
      </c>
      <c r="D135">
        <f t="shared" si="16"/>
        <v>0</v>
      </c>
      <c r="E135">
        <f t="shared" si="17"/>
        <v>4.7347705798337879E-2</v>
      </c>
      <c r="F135">
        <f t="shared" si="18"/>
        <v>0</v>
      </c>
      <c r="G135" t="str">
        <f t="shared" si="19"/>
        <v>KONTROL İÇİNDE</v>
      </c>
    </row>
    <row r="136" spans="1:7" x14ac:dyDescent="0.35">
      <c r="A136" s="21">
        <v>46250</v>
      </c>
      <c r="B136">
        <v>2</v>
      </c>
      <c r="C136">
        <v>0</v>
      </c>
      <c r="D136">
        <f t="shared" si="16"/>
        <v>0</v>
      </c>
      <c r="E136">
        <f t="shared" si="17"/>
        <v>0.16674154463178592</v>
      </c>
      <c r="F136">
        <f t="shared" si="18"/>
        <v>0</v>
      </c>
      <c r="G136" t="str">
        <f t="shared" si="19"/>
        <v>KONTROL İÇİNDE</v>
      </c>
    </row>
    <row r="137" spans="1:7" x14ac:dyDescent="0.35">
      <c r="A137" s="21">
        <v>46251</v>
      </c>
      <c r="B137">
        <v>66</v>
      </c>
      <c r="C137">
        <v>0</v>
      </c>
      <c r="D137">
        <f t="shared" si="16"/>
        <v>0</v>
      </c>
      <c r="E137">
        <f t="shared" si="17"/>
        <v>3.3808285472658559E-2</v>
      </c>
      <c r="F137">
        <f t="shared" si="18"/>
        <v>0</v>
      </c>
      <c r="G137" t="str">
        <f t="shared" si="19"/>
        <v>KONTROL İÇİNDE</v>
      </c>
    </row>
    <row r="138" spans="1:7" x14ac:dyDescent="0.35">
      <c r="A138" s="21">
        <v>46252</v>
      </c>
      <c r="B138">
        <v>47</v>
      </c>
      <c r="C138">
        <v>0</v>
      </c>
      <c r="D138">
        <f t="shared" si="16"/>
        <v>0</v>
      </c>
      <c r="E138">
        <f t="shared" si="17"/>
        <v>3.8991977915574502E-2</v>
      </c>
      <c r="F138">
        <f t="shared" si="18"/>
        <v>0</v>
      </c>
      <c r="G138" t="str">
        <f t="shared" si="19"/>
        <v>KONTROL İÇİNDE</v>
      </c>
    </row>
    <row r="139" spans="1:7" x14ac:dyDescent="0.35">
      <c r="A139" s="21">
        <v>46253</v>
      </c>
      <c r="B139">
        <v>21</v>
      </c>
      <c r="C139">
        <v>0</v>
      </c>
      <c r="D139">
        <f t="shared" si="16"/>
        <v>0</v>
      </c>
      <c r="E139">
        <f t="shared" si="17"/>
        <v>5.5460907411329745E-2</v>
      </c>
      <c r="F139">
        <f t="shared" si="18"/>
        <v>0</v>
      </c>
      <c r="G139" t="str">
        <f t="shared" si="19"/>
        <v>KONTROL İÇİNDE</v>
      </c>
    </row>
    <row r="140" spans="1:7" x14ac:dyDescent="0.35">
      <c r="A140" s="21">
        <v>46254</v>
      </c>
      <c r="B140">
        <v>25</v>
      </c>
      <c r="C140">
        <v>0</v>
      </c>
      <c r="D140">
        <f t="shared" si="16"/>
        <v>0</v>
      </c>
      <c r="E140">
        <f t="shared" si="17"/>
        <v>5.1314160631439031E-2</v>
      </c>
      <c r="F140">
        <f t="shared" si="18"/>
        <v>0</v>
      </c>
      <c r="G140" t="str">
        <f t="shared" si="19"/>
        <v>KONTROL İÇİNDE</v>
      </c>
    </row>
    <row r="141" spans="1:7" x14ac:dyDescent="0.35">
      <c r="A141" s="21">
        <v>46255</v>
      </c>
      <c r="B141">
        <v>209</v>
      </c>
      <c r="C141">
        <v>0</v>
      </c>
      <c r="D141">
        <f t="shared" si="16"/>
        <v>0</v>
      </c>
      <c r="E141">
        <f t="shared" si="17"/>
        <v>2.1535032730982472E-2</v>
      </c>
      <c r="F141">
        <f t="shared" si="18"/>
        <v>0</v>
      </c>
      <c r="G141" t="str">
        <f t="shared" si="19"/>
        <v>KONTROL İÇİNDE</v>
      </c>
    </row>
    <row r="142" spans="1:7" x14ac:dyDescent="0.35">
      <c r="A142" s="21">
        <v>46256</v>
      </c>
      <c r="B142">
        <v>23</v>
      </c>
      <c r="C142">
        <v>0</v>
      </c>
      <c r="D142">
        <f t="shared" si="16"/>
        <v>0</v>
      </c>
      <c r="E142">
        <f t="shared" si="17"/>
        <v>5.3252207167918654E-2</v>
      </c>
      <c r="F142">
        <f t="shared" si="18"/>
        <v>0</v>
      </c>
      <c r="G142" t="str">
        <f t="shared" si="19"/>
        <v>KONTROL İÇİNDE</v>
      </c>
    </row>
    <row r="143" spans="1:7" x14ac:dyDescent="0.35">
      <c r="A143" s="21">
        <v>46258</v>
      </c>
      <c r="B143">
        <v>42</v>
      </c>
      <c r="C143">
        <v>0</v>
      </c>
      <c r="D143">
        <f t="shared" si="16"/>
        <v>0</v>
      </c>
      <c r="E143">
        <f t="shared" si="17"/>
        <v>4.0912712717227996E-2</v>
      </c>
      <c r="F143">
        <f t="shared" si="18"/>
        <v>0</v>
      </c>
      <c r="G143" t="str">
        <f t="shared" si="19"/>
        <v>KONTROL İÇİNDE</v>
      </c>
    </row>
    <row r="144" spans="1:7" x14ac:dyDescent="0.35">
      <c r="A144" s="21">
        <v>46259</v>
      </c>
      <c r="B144">
        <v>17</v>
      </c>
      <c r="C144">
        <v>0</v>
      </c>
      <c r="D144">
        <f t="shared" si="16"/>
        <v>0</v>
      </c>
      <c r="E144">
        <f t="shared" si="17"/>
        <v>6.0996097665046621E-2</v>
      </c>
      <c r="F144">
        <f t="shared" si="18"/>
        <v>0</v>
      </c>
      <c r="G144" t="str">
        <f t="shared" si="19"/>
        <v>KONTROL İÇİNDE</v>
      </c>
    </row>
    <row r="145" spans="1:7" x14ac:dyDescent="0.35">
      <c r="A145" s="21">
        <v>46260</v>
      </c>
      <c r="B145">
        <v>46</v>
      </c>
      <c r="C145">
        <v>0</v>
      </c>
      <c r="D145">
        <f t="shared" si="16"/>
        <v>0</v>
      </c>
      <c r="E145">
        <f t="shared" si="17"/>
        <v>3.9350925797503634E-2</v>
      </c>
      <c r="F145">
        <f t="shared" si="18"/>
        <v>0</v>
      </c>
      <c r="G145" t="str">
        <f t="shared" si="19"/>
        <v>KONTROL İÇİNDE</v>
      </c>
    </row>
    <row r="146" spans="1:7" x14ac:dyDescent="0.35">
      <c r="A146" s="21">
        <v>46261</v>
      </c>
      <c r="B146">
        <v>160</v>
      </c>
      <c r="C146">
        <v>0</v>
      </c>
      <c r="D146">
        <f t="shared" si="16"/>
        <v>0</v>
      </c>
      <c r="E146">
        <f t="shared" si="17"/>
        <v>2.3785164031343144E-2</v>
      </c>
      <c r="F146">
        <f t="shared" si="18"/>
        <v>0</v>
      </c>
      <c r="G146" t="str">
        <f t="shared" si="19"/>
        <v>KONTROL İÇİNDE</v>
      </c>
    </row>
    <row r="147" spans="1:7" x14ac:dyDescent="0.35">
      <c r="A147" s="21">
        <v>46262</v>
      </c>
      <c r="B147">
        <v>57</v>
      </c>
      <c r="C147">
        <v>0</v>
      </c>
      <c r="D147">
        <f t="shared" si="16"/>
        <v>0</v>
      </c>
      <c r="E147">
        <f t="shared" si="17"/>
        <v>3.593920097926652E-2</v>
      </c>
      <c r="F147">
        <f t="shared" si="18"/>
        <v>0</v>
      </c>
      <c r="G147" t="str">
        <f t="shared" si="19"/>
        <v>KONTROL İÇİNDE</v>
      </c>
    </row>
    <row r="148" spans="1:7" x14ac:dyDescent="0.35">
      <c r="A148" s="23" t="s">
        <v>27</v>
      </c>
      <c r="B148" s="24">
        <v>4663</v>
      </c>
      <c r="C148" s="24">
        <v>27</v>
      </c>
      <c r="D148">
        <f t="shared" si="16"/>
        <v>5.790263778683251E-3</v>
      </c>
    </row>
  </sheetData>
  <conditionalFormatting sqref="G1:G1048576">
    <cfRule type="cellIs" dxfId="6" priority="1" operator="equal">
      <formula>$G$10</formula>
    </cfRule>
    <cfRule type="cellIs" dxfId="5" priority="9" operator="equal">
      <formula>#REF!</formula>
    </cfRule>
    <cfRule type="cellIs" dxfId="4" priority="10" operator="equal">
      <formula>"KONTROL DIŞINDA"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4"/>
  <sheetViews>
    <sheetView topLeftCell="G4" zoomScale="58" zoomScaleNormal="130" workbookViewId="0">
      <selection activeCell="AF21" sqref="AF21"/>
    </sheetView>
  </sheetViews>
  <sheetFormatPr defaultRowHeight="14.5" x14ac:dyDescent="0.35"/>
  <cols>
    <col min="1" max="1" width="15.7265625" bestFit="1" customWidth="1"/>
    <col min="2" max="2" width="8.54296875" bestFit="1" customWidth="1"/>
    <col min="3" max="3" width="7.36328125" bestFit="1" customWidth="1"/>
    <col min="7" max="7" width="52.1796875" customWidth="1"/>
    <col min="8" max="8" width="41.36328125" customWidth="1"/>
  </cols>
  <sheetData>
    <row r="1" spans="1:8" s="14" customFormat="1" ht="40" customHeight="1" x14ac:dyDescent="0.35">
      <c r="A1" s="4" t="s">
        <v>21</v>
      </c>
      <c r="B1" s="3" t="s">
        <v>1</v>
      </c>
      <c r="C1" s="3" t="s">
        <v>2</v>
      </c>
      <c r="D1" s="3" t="s">
        <v>3</v>
      </c>
      <c r="E1" s="3" t="s">
        <v>53</v>
      </c>
      <c r="F1" s="3" t="s">
        <v>54</v>
      </c>
      <c r="G1" s="3" t="s">
        <v>55</v>
      </c>
    </row>
    <row r="2" spans="1:8" s="15" customFormat="1" ht="30" customHeight="1" x14ac:dyDescent="0.35">
      <c r="A2" s="21">
        <v>46028</v>
      </c>
      <c r="B2">
        <v>4</v>
      </c>
      <c r="C2">
        <v>4</v>
      </c>
      <c r="D2" s="15">
        <f t="shared" ref="D2:D33" si="0">C2/B2</f>
        <v>1</v>
      </c>
      <c r="E2" s="15">
        <f t="shared" ref="E2:E33" si="1">$D$150+3*SQRT($D$150*(1-$D$150)/B2)</f>
        <v>9.2892544863637627E-2</v>
      </c>
      <c r="F2" s="16">
        <f t="shared" ref="F2:F33" si="2">MAX(0,$D$150-3*SQRT($D$150*(1-$D$150)/B2))</f>
        <v>0</v>
      </c>
      <c r="G2" s="15" t="str">
        <f t="shared" ref="G2:G33" si="3">IF(AND(D2&lt;=E2,D2&gt;=F2),"KONTROL İÇİNDE"," KONTROL DIŞINDA")</f>
        <v xml:space="preserve"> KONTROL DIŞINDA</v>
      </c>
      <c r="H2" s="6" t="s">
        <v>56</v>
      </c>
    </row>
    <row r="3" spans="1:8" s="15" customFormat="1" x14ac:dyDescent="0.35">
      <c r="A3" s="21">
        <v>46029</v>
      </c>
      <c r="B3">
        <v>2</v>
      </c>
      <c r="C3">
        <v>0</v>
      </c>
      <c r="D3" s="15">
        <f t="shared" si="0"/>
        <v>0</v>
      </c>
      <c r="E3" s="15">
        <f t="shared" si="1"/>
        <v>0.12989549923712276</v>
      </c>
      <c r="F3" s="16">
        <f t="shared" si="2"/>
        <v>0</v>
      </c>
      <c r="G3" s="15" t="str">
        <f t="shared" si="3"/>
        <v>KONTROL İÇİNDE</v>
      </c>
    </row>
    <row r="4" spans="1:8" s="15" customFormat="1" x14ac:dyDescent="0.35">
      <c r="A4" s="21">
        <v>46030</v>
      </c>
      <c r="B4">
        <v>34</v>
      </c>
      <c r="C4">
        <v>0</v>
      </c>
      <c r="D4" s="15">
        <f t="shared" si="0"/>
        <v>0</v>
      </c>
      <c r="E4" s="15">
        <f t="shared" si="1"/>
        <v>3.4200488543916267E-2</v>
      </c>
      <c r="F4" s="16">
        <f t="shared" si="2"/>
        <v>0</v>
      </c>
      <c r="G4" s="15" t="str">
        <f t="shared" si="3"/>
        <v>KONTROL İÇİNDE</v>
      </c>
    </row>
    <row r="5" spans="1:8" s="15" customFormat="1" x14ac:dyDescent="0.35">
      <c r="A5" s="21">
        <v>46031</v>
      </c>
      <c r="B5">
        <v>1</v>
      </c>
      <c r="C5">
        <v>0</v>
      </c>
      <c r="D5" s="15">
        <f t="shared" si="0"/>
        <v>0</v>
      </c>
      <c r="E5" s="15">
        <f t="shared" si="1"/>
        <v>0.18222557915997825</v>
      </c>
      <c r="F5" s="16">
        <f t="shared" si="2"/>
        <v>0</v>
      </c>
      <c r="G5" s="15" t="str">
        <f t="shared" si="3"/>
        <v>KONTROL İÇİNDE</v>
      </c>
    </row>
    <row r="6" spans="1:8" s="17" customFormat="1" x14ac:dyDescent="0.35">
      <c r="A6" s="21">
        <v>46035</v>
      </c>
      <c r="B6">
        <v>81</v>
      </c>
      <c r="C6">
        <v>0</v>
      </c>
      <c r="D6" s="15">
        <f t="shared" si="0"/>
        <v>0</v>
      </c>
      <c r="E6" s="15">
        <f t="shared" si="1"/>
        <v>2.3411295966483801E-2</v>
      </c>
      <c r="F6" s="16">
        <f t="shared" si="2"/>
        <v>0</v>
      </c>
      <c r="G6" s="15" t="str">
        <f t="shared" si="3"/>
        <v>KONTROL İÇİNDE</v>
      </c>
    </row>
    <row r="7" spans="1:8" s="15" customFormat="1" x14ac:dyDescent="0.35">
      <c r="A7" s="21">
        <v>46037</v>
      </c>
      <c r="B7">
        <v>6</v>
      </c>
      <c r="C7">
        <v>0</v>
      </c>
      <c r="D7" s="15">
        <f t="shared" si="0"/>
        <v>0</v>
      </c>
      <c r="E7" s="15">
        <f t="shared" si="1"/>
        <v>7.6499627634158407E-2</v>
      </c>
      <c r="F7" s="16">
        <f t="shared" si="2"/>
        <v>0</v>
      </c>
      <c r="G7" s="15" t="str">
        <f t="shared" si="3"/>
        <v>KONTROL İÇİNDE</v>
      </c>
    </row>
    <row r="8" spans="1:8" x14ac:dyDescent="0.35">
      <c r="A8" s="21">
        <v>46038</v>
      </c>
      <c r="B8">
        <v>2</v>
      </c>
      <c r="C8">
        <v>0</v>
      </c>
      <c r="D8" s="15">
        <f t="shared" si="0"/>
        <v>0</v>
      </c>
      <c r="E8" s="15">
        <f t="shared" si="1"/>
        <v>0.12989549923712276</v>
      </c>
      <c r="F8" s="16">
        <f t="shared" si="2"/>
        <v>0</v>
      </c>
      <c r="G8" s="15" t="str">
        <f t="shared" si="3"/>
        <v>KONTROL İÇİNDE</v>
      </c>
    </row>
    <row r="9" spans="1:8" x14ac:dyDescent="0.35">
      <c r="A9" s="21">
        <v>46041</v>
      </c>
      <c r="B9">
        <v>12</v>
      </c>
      <c r="C9">
        <v>0</v>
      </c>
      <c r="D9" s="15">
        <f t="shared" si="0"/>
        <v>0</v>
      </c>
      <c r="E9" s="15">
        <f t="shared" si="1"/>
        <v>5.5135961965815328E-2</v>
      </c>
      <c r="F9" s="16">
        <f t="shared" si="2"/>
        <v>0</v>
      </c>
      <c r="G9" s="15" t="str">
        <f t="shared" si="3"/>
        <v>KONTROL İÇİNDE</v>
      </c>
    </row>
    <row r="10" spans="1:8" ht="30" customHeight="1" x14ac:dyDescent="0.35">
      <c r="A10" s="21">
        <v>46042</v>
      </c>
      <c r="B10">
        <v>1</v>
      </c>
      <c r="C10">
        <v>1</v>
      </c>
      <c r="D10" s="15">
        <f t="shared" si="0"/>
        <v>1</v>
      </c>
      <c r="E10" s="15">
        <f t="shared" si="1"/>
        <v>0.18222557915997825</v>
      </c>
      <c r="F10" s="16">
        <f t="shared" si="2"/>
        <v>0</v>
      </c>
      <c r="G10" s="15" t="str">
        <f t="shared" si="3"/>
        <v xml:space="preserve"> KONTROL DIŞINDA</v>
      </c>
      <c r="H10" s="6" t="s">
        <v>57</v>
      </c>
    </row>
    <row r="11" spans="1:8" x14ac:dyDescent="0.35">
      <c r="A11" s="21">
        <v>46043</v>
      </c>
      <c r="B11">
        <v>316</v>
      </c>
      <c r="C11">
        <v>0</v>
      </c>
      <c r="D11" s="15">
        <f t="shared" si="0"/>
        <v>0</v>
      </c>
      <c r="E11" s="15">
        <f t="shared" si="1"/>
        <v>1.3610262171279235E-2</v>
      </c>
      <c r="F11" s="16">
        <f t="shared" si="2"/>
        <v>0</v>
      </c>
      <c r="G11" s="15" t="str">
        <f t="shared" si="3"/>
        <v>KONTROL İÇİNDE</v>
      </c>
    </row>
    <row r="12" spans="1:8" x14ac:dyDescent="0.35">
      <c r="A12" s="21">
        <v>46045</v>
      </c>
      <c r="B12">
        <v>9</v>
      </c>
      <c r="C12">
        <v>1</v>
      </c>
      <c r="D12" s="15">
        <f t="shared" si="0"/>
        <v>0.1111111111111111</v>
      </c>
      <c r="E12" s="15">
        <f t="shared" si="1"/>
        <v>6.3114866764857419E-2</v>
      </c>
      <c r="F12" s="16">
        <f t="shared" si="2"/>
        <v>0</v>
      </c>
      <c r="G12" s="15" t="str">
        <f t="shared" si="3"/>
        <v xml:space="preserve"> KONTROL DIŞINDA</v>
      </c>
    </row>
    <row r="13" spans="1:8" x14ac:dyDescent="0.35">
      <c r="A13" s="21">
        <v>46048</v>
      </c>
      <c r="B13">
        <v>2</v>
      </c>
      <c r="C13">
        <v>0</v>
      </c>
      <c r="D13" s="15">
        <f t="shared" si="0"/>
        <v>0</v>
      </c>
      <c r="E13" s="15">
        <f t="shared" si="1"/>
        <v>0.12989549923712276</v>
      </c>
      <c r="F13" s="16">
        <f t="shared" si="2"/>
        <v>0</v>
      </c>
      <c r="G13" s="15" t="str">
        <f t="shared" si="3"/>
        <v>KONTROL İÇİNDE</v>
      </c>
    </row>
    <row r="14" spans="1:8" x14ac:dyDescent="0.35">
      <c r="A14" s="21">
        <v>46050</v>
      </c>
      <c r="B14">
        <v>205</v>
      </c>
      <c r="C14">
        <v>0</v>
      </c>
      <c r="D14" s="15">
        <f t="shared" si="0"/>
        <v>0</v>
      </c>
      <c r="E14" s="15">
        <f t="shared" si="1"/>
        <v>1.6038090080414406E-2</v>
      </c>
      <c r="F14" s="16">
        <f t="shared" si="2"/>
        <v>0</v>
      </c>
      <c r="G14" s="15" t="str">
        <f t="shared" si="3"/>
        <v>KONTROL İÇİNDE</v>
      </c>
    </row>
    <row r="15" spans="1:8" x14ac:dyDescent="0.35">
      <c r="A15" s="21">
        <v>46052</v>
      </c>
      <c r="B15">
        <v>6</v>
      </c>
      <c r="C15">
        <v>0</v>
      </c>
      <c r="D15" s="15">
        <f t="shared" si="0"/>
        <v>0</v>
      </c>
      <c r="E15" s="15">
        <f t="shared" si="1"/>
        <v>7.6499627634158407E-2</v>
      </c>
      <c r="F15" s="16">
        <f t="shared" si="2"/>
        <v>0</v>
      </c>
      <c r="G15" s="15" t="str">
        <f t="shared" si="3"/>
        <v>KONTROL İÇİNDE</v>
      </c>
    </row>
    <row r="16" spans="1:8" x14ac:dyDescent="0.35">
      <c r="A16" s="21">
        <v>46055</v>
      </c>
      <c r="B16">
        <v>2</v>
      </c>
      <c r="C16">
        <v>0</v>
      </c>
      <c r="D16" s="15">
        <f t="shared" si="0"/>
        <v>0</v>
      </c>
      <c r="E16" s="15">
        <f t="shared" si="1"/>
        <v>0.12989549923712276</v>
      </c>
      <c r="F16" s="16">
        <f t="shared" si="2"/>
        <v>0</v>
      </c>
      <c r="G16" s="15" t="str">
        <f t="shared" si="3"/>
        <v>KONTROL İÇİNDE</v>
      </c>
    </row>
    <row r="17" spans="1:8" x14ac:dyDescent="0.35">
      <c r="A17" s="21">
        <v>46056</v>
      </c>
      <c r="B17">
        <v>1</v>
      </c>
      <c r="C17">
        <v>0</v>
      </c>
      <c r="D17" s="15">
        <f t="shared" si="0"/>
        <v>0</v>
      </c>
      <c r="E17" s="15">
        <f t="shared" si="1"/>
        <v>0.18222557915997825</v>
      </c>
      <c r="F17" s="16">
        <f t="shared" si="2"/>
        <v>0</v>
      </c>
      <c r="G17" s="15" t="str">
        <f t="shared" si="3"/>
        <v>KONTROL İÇİNDE</v>
      </c>
    </row>
    <row r="18" spans="1:8" x14ac:dyDescent="0.35">
      <c r="A18" s="21">
        <v>46057</v>
      </c>
      <c r="B18">
        <v>7</v>
      </c>
      <c r="C18">
        <v>0</v>
      </c>
      <c r="D18" s="15">
        <f t="shared" si="0"/>
        <v>0</v>
      </c>
      <c r="E18" s="15">
        <f t="shared" si="1"/>
        <v>7.1088937027560209E-2</v>
      </c>
      <c r="F18" s="16">
        <f t="shared" si="2"/>
        <v>0</v>
      </c>
      <c r="G18" s="15" t="str">
        <f t="shared" si="3"/>
        <v>KONTROL İÇİNDE</v>
      </c>
    </row>
    <row r="19" spans="1:8" x14ac:dyDescent="0.35">
      <c r="A19" s="21">
        <v>46058</v>
      </c>
      <c r="B19">
        <v>7</v>
      </c>
      <c r="C19">
        <v>1</v>
      </c>
      <c r="D19" s="15">
        <f t="shared" si="0"/>
        <v>0.14285714285714285</v>
      </c>
      <c r="E19" s="15">
        <f t="shared" si="1"/>
        <v>7.1088937027560209E-2</v>
      </c>
      <c r="F19" s="16">
        <f t="shared" si="2"/>
        <v>0</v>
      </c>
      <c r="G19" s="15" t="str">
        <f t="shared" si="3"/>
        <v xml:space="preserve"> KONTROL DIŞINDA</v>
      </c>
      <c r="H19" s="5" t="s">
        <v>58</v>
      </c>
    </row>
    <row r="20" spans="1:8" x14ac:dyDescent="0.35">
      <c r="A20" s="21">
        <v>46059</v>
      </c>
      <c r="B20">
        <v>18</v>
      </c>
      <c r="C20">
        <v>1</v>
      </c>
      <c r="D20" s="15">
        <f t="shared" si="0"/>
        <v>5.5555555555555552E-2</v>
      </c>
      <c r="E20" s="15">
        <f t="shared" si="1"/>
        <v>4.5671506790572247E-2</v>
      </c>
      <c r="F20" s="16">
        <f t="shared" si="2"/>
        <v>0</v>
      </c>
      <c r="G20" s="15" t="str">
        <f t="shared" si="3"/>
        <v xml:space="preserve"> KONTROL DIŞINDA</v>
      </c>
      <c r="H20" s="5" t="s">
        <v>58</v>
      </c>
    </row>
    <row r="21" spans="1:8" x14ac:dyDescent="0.35">
      <c r="A21" s="21">
        <v>46062</v>
      </c>
      <c r="B21">
        <v>25</v>
      </c>
      <c r="C21">
        <v>0</v>
      </c>
      <c r="D21" s="15">
        <f t="shared" si="0"/>
        <v>0</v>
      </c>
      <c r="E21" s="15">
        <f t="shared" si="1"/>
        <v>3.9292724285833247E-2</v>
      </c>
      <c r="F21" s="16">
        <f t="shared" si="2"/>
        <v>0</v>
      </c>
      <c r="G21" s="15" t="str">
        <f t="shared" si="3"/>
        <v>KONTROL İÇİNDE</v>
      </c>
    </row>
    <row r="22" spans="1:8" x14ac:dyDescent="0.35">
      <c r="A22" s="21">
        <v>46063</v>
      </c>
      <c r="B22">
        <v>4</v>
      </c>
      <c r="C22">
        <v>0</v>
      </c>
      <c r="D22" s="15">
        <f t="shared" si="0"/>
        <v>0</v>
      </c>
      <c r="E22" s="15">
        <f t="shared" si="1"/>
        <v>9.2892544863637627E-2</v>
      </c>
      <c r="F22" s="16">
        <f t="shared" si="2"/>
        <v>0</v>
      </c>
      <c r="G22" s="15" t="str">
        <f t="shared" si="3"/>
        <v>KONTROL İÇİNDE</v>
      </c>
    </row>
    <row r="23" spans="1:8" x14ac:dyDescent="0.35">
      <c r="A23" s="21">
        <v>46064</v>
      </c>
      <c r="B23">
        <v>2</v>
      </c>
      <c r="C23">
        <v>0</v>
      </c>
      <c r="D23" s="15">
        <f t="shared" si="0"/>
        <v>0</v>
      </c>
      <c r="E23" s="15">
        <f t="shared" si="1"/>
        <v>0.12989549923712276</v>
      </c>
      <c r="F23" s="16">
        <f t="shared" si="2"/>
        <v>0</v>
      </c>
      <c r="G23" s="15" t="str">
        <f t="shared" si="3"/>
        <v>KONTROL İÇİNDE</v>
      </c>
    </row>
    <row r="24" spans="1:8" x14ac:dyDescent="0.35">
      <c r="A24" s="21">
        <v>46065</v>
      </c>
      <c r="B24">
        <v>86</v>
      </c>
      <c r="C24">
        <v>0</v>
      </c>
      <c r="D24" s="15">
        <f t="shared" si="0"/>
        <v>0</v>
      </c>
      <c r="E24" s="15">
        <f t="shared" si="1"/>
        <v>2.2825568221001565E-2</v>
      </c>
      <c r="F24" s="16">
        <f t="shared" si="2"/>
        <v>0</v>
      </c>
      <c r="G24" s="15" t="str">
        <f t="shared" si="3"/>
        <v>KONTROL İÇİNDE</v>
      </c>
    </row>
    <row r="25" spans="1:8" x14ac:dyDescent="0.35">
      <c r="A25" s="21">
        <v>46066</v>
      </c>
      <c r="B25">
        <v>16</v>
      </c>
      <c r="C25">
        <v>0</v>
      </c>
      <c r="D25" s="15">
        <f t="shared" si="0"/>
        <v>0</v>
      </c>
      <c r="E25" s="15">
        <f t="shared" si="1"/>
        <v>4.8226027715467308E-2</v>
      </c>
      <c r="F25" s="16">
        <f t="shared" si="2"/>
        <v>0</v>
      </c>
      <c r="G25" s="15" t="str">
        <f t="shared" si="3"/>
        <v>KONTROL İÇİNDE</v>
      </c>
    </row>
    <row r="26" spans="1:8" x14ac:dyDescent="0.35">
      <c r="A26" s="21">
        <v>46069</v>
      </c>
      <c r="B26">
        <v>7</v>
      </c>
      <c r="C26">
        <v>0</v>
      </c>
      <c r="D26" s="15">
        <f t="shared" si="0"/>
        <v>0</v>
      </c>
      <c r="E26" s="15">
        <f t="shared" si="1"/>
        <v>7.1088937027560209E-2</v>
      </c>
      <c r="F26" s="16">
        <f t="shared" si="2"/>
        <v>0</v>
      </c>
      <c r="G26" s="15" t="str">
        <f t="shared" si="3"/>
        <v>KONTROL İÇİNDE</v>
      </c>
    </row>
    <row r="27" spans="1:8" x14ac:dyDescent="0.35">
      <c r="A27" s="21">
        <v>46070</v>
      </c>
      <c r="B27">
        <v>11</v>
      </c>
      <c r="C27">
        <v>0</v>
      </c>
      <c r="D27" s="15">
        <f t="shared" si="0"/>
        <v>0</v>
      </c>
      <c r="E27" s="15">
        <f t="shared" si="1"/>
        <v>5.7429357139099267E-2</v>
      </c>
      <c r="F27" s="16">
        <f t="shared" si="2"/>
        <v>0</v>
      </c>
      <c r="G27" s="15" t="str">
        <f t="shared" si="3"/>
        <v>KONTROL İÇİNDE</v>
      </c>
    </row>
    <row r="28" spans="1:8" x14ac:dyDescent="0.35">
      <c r="A28" s="21">
        <v>46071</v>
      </c>
      <c r="B28">
        <v>6</v>
      </c>
      <c r="C28">
        <v>0</v>
      </c>
      <c r="D28" s="15">
        <f t="shared" si="0"/>
        <v>0</v>
      </c>
      <c r="E28" s="15">
        <f t="shared" si="1"/>
        <v>7.6499627634158407E-2</v>
      </c>
      <c r="F28" s="16">
        <f t="shared" si="2"/>
        <v>0</v>
      </c>
      <c r="G28" s="15" t="str">
        <f t="shared" si="3"/>
        <v>KONTROL İÇİNDE</v>
      </c>
    </row>
    <row r="29" spans="1:8" x14ac:dyDescent="0.35">
      <c r="A29" s="21">
        <v>46072</v>
      </c>
      <c r="B29">
        <v>8</v>
      </c>
      <c r="C29">
        <v>0</v>
      </c>
      <c r="D29" s="15">
        <f t="shared" si="0"/>
        <v>0</v>
      </c>
      <c r="E29" s="15">
        <f t="shared" si="1"/>
        <v>6.6727504902209883E-2</v>
      </c>
      <c r="F29" s="16">
        <f t="shared" si="2"/>
        <v>0</v>
      </c>
      <c r="G29" s="15" t="str">
        <f t="shared" si="3"/>
        <v>KONTROL İÇİNDE</v>
      </c>
    </row>
    <row r="30" spans="1:8" x14ac:dyDescent="0.35">
      <c r="A30" s="21">
        <v>46076</v>
      </c>
      <c r="B30">
        <v>12</v>
      </c>
      <c r="C30">
        <v>0</v>
      </c>
      <c r="D30" s="15">
        <f t="shared" si="0"/>
        <v>0</v>
      </c>
      <c r="E30" s="15">
        <f t="shared" si="1"/>
        <v>5.5135961965815328E-2</v>
      </c>
      <c r="F30" s="16">
        <f t="shared" si="2"/>
        <v>0</v>
      </c>
      <c r="G30" s="15" t="str">
        <f t="shared" si="3"/>
        <v>KONTROL İÇİNDE</v>
      </c>
    </row>
    <row r="31" spans="1:8" x14ac:dyDescent="0.35">
      <c r="A31" s="21">
        <v>46077</v>
      </c>
      <c r="B31">
        <v>5</v>
      </c>
      <c r="C31">
        <v>0</v>
      </c>
      <c r="D31" s="15">
        <f t="shared" si="0"/>
        <v>0</v>
      </c>
      <c r="E31" s="15">
        <f t="shared" si="1"/>
        <v>8.3461405496472102E-2</v>
      </c>
      <c r="F31" s="16">
        <f t="shared" si="2"/>
        <v>0</v>
      </c>
      <c r="G31" s="15" t="str">
        <f t="shared" si="3"/>
        <v>KONTROL İÇİNDE</v>
      </c>
    </row>
    <row r="32" spans="1:8" x14ac:dyDescent="0.35">
      <c r="A32" s="21">
        <v>46078</v>
      </c>
      <c r="B32">
        <v>3</v>
      </c>
      <c r="C32">
        <v>0</v>
      </c>
      <c r="D32" s="15">
        <f t="shared" si="0"/>
        <v>0</v>
      </c>
      <c r="E32" s="15">
        <f t="shared" si="1"/>
        <v>0.10671241336433367</v>
      </c>
      <c r="F32" s="16">
        <f t="shared" si="2"/>
        <v>0</v>
      </c>
      <c r="G32" s="15" t="str">
        <f t="shared" si="3"/>
        <v>KONTROL İÇİNDE</v>
      </c>
    </row>
    <row r="33" spans="1:8" x14ac:dyDescent="0.35">
      <c r="A33" s="21">
        <v>46079</v>
      </c>
      <c r="B33">
        <v>3</v>
      </c>
      <c r="C33">
        <v>1</v>
      </c>
      <c r="D33" s="15">
        <f t="shared" si="0"/>
        <v>0.33333333333333331</v>
      </c>
      <c r="E33" s="15">
        <f t="shared" si="1"/>
        <v>0.10671241336433367</v>
      </c>
      <c r="F33" s="16">
        <f t="shared" si="2"/>
        <v>0</v>
      </c>
      <c r="G33" s="15" t="str">
        <f t="shared" si="3"/>
        <v xml:space="preserve"> KONTROL DIŞINDA</v>
      </c>
      <c r="H33" s="5" t="s">
        <v>59</v>
      </c>
    </row>
    <row r="34" spans="1:8" x14ac:dyDescent="0.35">
      <c r="A34" s="21">
        <v>46081</v>
      </c>
      <c r="B34">
        <v>28</v>
      </c>
      <c r="C34">
        <v>0</v>
      </c>
      <c r="D34" s="15">
        <f t="shared" ref="D34:D65" si="4">C34/B34</f>
        <v>0</v>
      </c>
      <c r="E34" s="15">
        <f t="shared" ref="E34:E65" si="5">$D$150+3*SQRT($D$150*(1-$D$150)/B34)</f>
        <v>3.7324223797428599E-2</v>
      </c>
      <c r="F34" s="16">
        <f t="shared" ref="F34:F65" si="6">MAX(0,$D$150-3*SQRT($D$150*(1-$D$150)/B34))</f>
        <v>0</v>
      </c>
      <c r="G34" s="15" t="str">
        <f t="shared" ref="G34:G65" si="7">IF(AND(D34&lt;=E34,D34&gt;=F34),"KONTROL İÇİNDE"," KONTROL DIŞINDA")</f>
        <v>KONTROL İÇİNDE</v>
      </c>
    </row>
    <row r="35" spans="1:8" x14ac:dyDescent="0.35">
      <c r="A35" s="21">
        <v>46083</v>
      </c>
      <c r="B35">
        <v>2</v>
      </c>
      <c r="C35">
        <v>0</v>
      </c>
      <c r="D35" s="15">
        <f t="shared" si="4"/>
        <v>0</v>
      </c>
      <c r="E35" s="15">
        <f t="shared" si="5"/>
        <v>0.12989549923712276</v>
      </c>
      <c r="F35" s="16">
        <f t="shared" si="6"/>
        <v>0</v>
      </c>
      <c r="G35" s="15" t="str">
        <f t="shared" si="7"/>
        <v>KONTROL İÇİNDE</v>
      </c>
    </row>
    <row r="36" spans="1:8" x14ac:dyDescent="0.35">
      <c r="A36" s="21">
        <v>46084</v>
      </c>
      <c r="B36">
        <v>133</v>
      </c>
      <c r="C36">
        <v>0</v>
      </c>
      <c r="D36" s="15">
        <f t="shared" si="4"/>
        <v>0</v>
      </c>
      <c r="E36" s="15">
        <f t="shared" si="5"/>
        <v>1.9051823496536415E-2</v>
      </c>
      <c r="F36" s="16">
        <f t="shared" si="6"/>
        <v>0</v>
      </c>
      <c r="G36" s="15" t="str">
        <f t="shared" si="7"/>
        <v>KONTROL İÇİNDE</v>
      </c>
    </row>
    <row r="37" spans="1:8" x14ac:dyDescent="0.35">
      <c r="A37" s="21">
        <v>46086</v>
      </c>
      <c r="B37">
        <v>5</v>
      </c>
      <c r="C37">
        <v>0</v>
      </c>
      <c r="D37" s="15">
        <f t="shared" si="4"/>
        <v>0</v>
      </c>
      <c r="E37" s="15">
        <f t="shared" si="5"/>
        <v>8.3461405496472102E-2</v>
      </c>
      <c r="F37" s="16">
        <f t="shared" si="6"/>
        <v>0</v>
      </c>
      <c r="G37" s="15" t="str">
        <f t="shared" si="7"/>
        <v>KONTROL İÇİNDE</v>
      </c>
    </row>
    <row r="38" spans="1:8" x14ac:dyDescent="0.35">
      <c r="A38" s="21">
        <v>46087</v>
      </c>
      <c r="B38">
        <v>14</v>
      </c>
      <c r="C38">
        <v>2</v>
      </c>
      <c r="D38" s="15">
        <f t="shared" si="4"/>
        <v>0.14285714285714285</v>
      </c>
      <c r="E38" s="15">
        <f t="shared" si="5"/>
        <v>5.1310025946987387E-2</v>
      </c>
      <c r="F38" s="16">
        <f t="shared" si="6"/>
        <v>0</v>
      </c>
      <c r="G38" s="15" t="str">
        <f t="shared" si="7"/>
        <v xml:space="preserve"> KONTROL DIŞINDA</v>
      </c>
      <c r="H38" s="7" t="s">
        <v>58</v>
      </c>
    </row>
    <row r="39" spans="1:8" x14ac:dyDescent="0.35">
      <c r="A39" s="21">
        <v>46090</v>
      </c>
      <c r="B39">
        <v>2</v>
      </c>
      <c r="C39">
        <v>0</v>
      </c>
      <c r="D39" s="15">
        <f t="shared" si="4"/>
        <v>0</v>
      </c>
      <c r="E39" s="15">
        <f t="shared" si="5"/>
        <v>0.12989549923712276</v>
      </c>
      <c r="F39" s="16">
        <f t="shared" si="6"/>
        <v>0</v>
      </c>
      <c r="G39" s="15" t="str">
        <f t="shared" si="7"/>
        <v>KONTROL İÇİNDE</v>
      </c>
    </row>
    <row r="40" spans="1:8" x14ac:dyDescent="0.35">
      <c r="A40" s="21">
        <v>46091</v>
      </c>
      <c r="B40">
        <v>2</v>
      </c>
      <c r="C40">
        <v>0</v>
      </c>
      <c r="D40" s="15">
        <f t="shared" si="4"/>
        <v>0</v>
      </c>
      <c r="E40" s="15">
        <f t="shared" si="5"/>
        <v>0.12989549923712276</v>
      </c>
      <c r="F40" s="16">
        <f t="shared" si="6"/>
        <v>0</v>
      </c>
      <c r="G40" s="15" t="str">
        <f t="shared" si="7"/>
        <v>KONTROL İÇİNDE</v>
      </c>
    </row>
    <row r="41" spans="1:8" x14ac:dyDescent="0.35">
      <c r="A41" s="21">
        <v>46092</v>
      </c>
      <c r="B41">
        <v>9</v>
      </c>
      <c r="C41">
        <v>0</v>
      </c>
      <c r="D41" s="15">
        <f t="shared" si="4"/>
        <v>0</v>
      </c>
      <c r="E41" s="15">
        <f t="shared" si="5"/>
        <v>6.3114866764857419E-2</v>
      </c>
      <c r="F41" s="16">
        <f t="shared" si="6"/>
        <v>0</v>
      </c>
      <c r="G41" s="15" t="str">
        <f t="shared" si="7"/>
        <v>KONTROL İÇİNDE</v>
      </c>
    </row>
    <row r="42" spans="1:8" x14ac:dyDescent="0.35">
      <c r="A42" s="21">
        <v>46093</v>
      </c>
      <c r="B42">
        <v>23</v>
      </c>
      <c r="C42">
        <v>0</v>
      </c>
      <c r="D42" s="15">
        <f t="shared" si="4"/>
        <v>0</v>
      </c>
      <c r="E42" s="15">
        <f t="shared" si="5"/>
        <v>4.0813961171781057E-2</v>
      </c>
      <c r="F42" s="16">
        <f t="shared" si="6"/>
        <v>0</v>
      </c>
      <c r="G42" s="15" t="str">
        <f t="shared" si="7"/>
        <v>KONTROL İÇİNDE</v>
      </c>
    </row>
    <row r="43" spans="1:8" x14ac:dyDescent="0.35">
      <c r="A43" s="21">
        <v>46094</v>
      </c>
      <c r="B43">
        <v>1</v>
      </c>
      <c r="C43">
        <v>0</v>
      </c>
      <c r="D43" s="15">
        <f t="shared" si="4"/>
        <v>0</v>
      </c>
      <c r="E43" s="15">
        <f t="shared" si="5"/>
        <v>0.18222557915997825</v>
      </c>
      <c r="F43" s="16">
        <f t="shared" si="6"/>
        <v>0</v>
      </c>
      <c r="G43" s="15" t="str">
        <f t="shared" si="7"/>
        <v>KONTROL İÇİNDE</v>
      </c>
    </row>
    <row r="44" spans="1:8" x14ac:dyDescent="0.35">
      <c r="A44" s="21">
        <v>46096</v>
      </c>
      <c r="B44">
        <v>1</v>
      </c>
      <c r="C44">
        <v>0</v>
      </c>
      <c r="D44" s="15">
        <f t="shared" si="4"/>
        <v>0</v>
      </c>
      <c r="E44" s="15">
        <f t="shared" si="5"/>
        <v>0.18222557915997825</v>
      </c>
      <c r="F44" s="16">
        <f t="shared" si="6"/>
        <v>0</v>
      </c>
      <c r="G44" s="15" t="str">
        <f t="shared" si="7"/>
        <v>KONTROL İÇİNDE</v>
      </c>
    </row>
    <row r="45" spans="1:8" x14ac:dyDescent="0.35">
      <c r="A45" s="21">
        <v>46097</v>
      </c>
      <c r="B45">
        <v>33</v>
      </c>
      <c r="C45">
        <v>0</v>
      </c>
      <c r="D45" s="15">
        <f t="shared" si="4"/>
        <v>0</v>
      </c>
      <c r="E45" s="15">
        <f t="shared" si="5"/>
        <v>3.4661280986730873E-2</v>
      </c>
      <c r="F45" s="16">
        <f t="shared" si="6"/>
        <v>0</v>
      </c>
      <c r="G45" s="15" t="str">
        <f t="shared" si="7"/>
        <v>KONTROL İÇİNDE</v>
      </c>
    </row>
    <row r="46" spans="1:8" x14ac:dyDescent="0.35">
      <c r="A46" s="21">
        <v>46098</v>
      </c>
      <c r="B46">
        <v>17</v>
      </c>
      <c r="C46">
        <v>0</v>
      </c>
      <c r="D46" s="15">
        <f t="shared" si="4"/>
        <v>0</v>
      </c>
      <c r="E46" s="15">
        <f t="shared" si="5"/>
        <v>4.6892397186207281E-2</v>
      </c>
      <c r="F46" s="16">
        <f t="shared" si="6"/>
        <v>0</v>
      </c>
      <c r="G46" s="15" t="str">
        <f t="shared" si="7"/>
        <v>KONTROL İÇİNDE</v>
      </c>
    </row>
    <row r="47" spans="1:8" x14ac:dyDescent="0.35">
      <c r="A47" s="21">
        <v>46099</v>
      </c>
      <c r="B47">
        <v>30</v>
      </c>
      <c r="C47">
        <v>0</v>
      </c>
      <c r="D47" s="15">
        <f t="shared" si="4"/>
        <v>0</v>
      </c>
      <c r="E47" s="15">
        <f t="shared" si="5"/>
        <v>3.6179322576955934E-2</v>
      </c>
      <c r="F47" s="16">
        <f t="shared" si="6"/>
        <v>0</v>
      </c>
      <c r="G47" s="15" t="str">
        <f t="shared" si="7"/>
        <v>KONTROL İÇİNDE</v>
      </c>
    </row>
    <row r="48" spans="1:8" x14ac:dyDescent="0.35">
      <c r="A48" s="21">
        <v>46101</v>
      </c>
      <c r="B48">
        <v>1</v>
      </c>
      <c r="C48">
        <v>0</v>
      </c>
      <c r="D48" s="15">
        <f t="shared" si="4"/>
        <v>0</v>
      </c>
      <c r="E48" s="15">
        <f t="shared" si="5"/>
        <v>0.18222557915997825</v>
      </c>
      <c r="F48" s="16">
        <f t="shared" si="6"/>
        <v>0</v>
      </c>
      <c r="G48" s="15" t="str">
        <f t="shared" si="7"/>
        <v>KONTROL İÇİNDE</v>
      </c>
    </row>
    <row r="49" spans="1:7" x14ac:dyDescent="0.35">
      <c r="A49" s="21">
        <v>46105</v>
      </c>
      <c r="B49">
        <v>100</v>
      </c>
      <c r="C49">
        <v>0</v>
      </c>
      <c r="D49" s="15">
        <f t="shared" si="4"/>
        <v>0</v>
      </c>
      <c r="E49" s="15">
        <f t="shared" si="5"/>
        <v>2.1426117426565121E-2</v>
      </c>
      <c r="F49" s="16">
        <f t="shared" si="6"/>
        <v>0</v>
      </c>
      <c r="G49" s="15" t="str">
        <f t="shared" si="7"/>
        <v>KONTROL İÇİNDE</v>
      </c>
    </row>
    <row r="50" spans="1:7" x14ac:dyDescent="0.35">
      <c r="A50" s="21">
        <v>46106</v>
      </c>
      <c r="B50">
        <v>55</v>
      </c>
      <c r="C50">
        <v>0</v>
      </c>
      <c r="D50" s="15">
        <f t="shared" si="4"/>
        <v>0</v>
      </c>
      <c r="E50" s="15">
        <f t="shared" si="5"/>
        <v>2.765083834170377E-2</v>
      </c>
      <c r="F50" s="16">
        <f t="shared" si="6"/>
        <v>0</v>
      </c>
      <c r="G50" s="15" t="str">
        <f t="shared" si="7"/>
        <v>KONTROL İÇİNDE</v>
      </c>
    </row>
    <row r="51" spans="1:7" x14ac:dyDescent="0.35">
      <c r="A51" s="21">
        <v>46107</v>
      </c>
      <c r="B51">
        <v>1</v>
      </c>
      <c r="C51">
        <v>0</v>
      </c>
      <c r="D51" s="15">
        <f t="shared" si="4"/>
        <v>0</v>
      </c>
      <c r="E51" s="15">
        <f t="shared" si="5"/>
        <v>0.18222557915997825</v>
      </c>
      <c r="F51" s="16">
        <f t="shared" si="6"/>
        <v>0</v>
      </c>
      <c r="G51" s="15" t="str">
        <f t="shared" si="7"/>
        <v>KONTROL İÇİNDE</v>
      </c>
    </row>
    <row r="52" spans="1:7" x14ac:dyDescent="0.35">
      <c r="A52" s="21">
        <v>46108</v>
      </c>
      <c r="B52">
        <v>23</v>
      </c>
      <c r="C52">
        <v>0</v>
      </c>
      <c r="D52" s="15">
        <f t="shared" si="4"/>
        <v>0</v>
      </c>
      <c r="E52" s="15">
        <f t="shared" si="5"/>
        <v>4.0813961171781057E-2</v>
      </c>
      <c r="F52" s="16">
        <f t="shared" si="6"/>
        <v>0</v>
      </c>
      <c r="G52" s="15" t="str">
        <f t="shared" si="7"/>
        <v>KONTROL İÇİNDE</v>
      </c>
    </row>
    <row r="53" spans="1:7" x14ac:dyDescent="0.35">
      <c r="A53" s="21">
        <v>46111</v>
      </c>
      <c r="B53">
        <v>2</v>
      </c>
      <c r="C53">
        <v>0</v>
      </c>
      <c r="D53" s="15">
        <f t="shared" si="4"/>
        <v>0</v>
      </c>
      <c r="E53" s="15">
        <f t="shared" si="5"/>
        <v>0.12989549923712276</v>
      </c>
      <c r="F53" s="16">
        <f t="shared" si="6"/>
        <v>0</v>
      </c>
      <c r="G53" s="15" t="str">
        <f t="shared" si="7"/>
        <v>KONTROL İÇİNDE</v>
      </c>
    </row>
    <row r="54" spans="1:7" x14ac:dyDescent="0.35">
      <c r="A54" s="21">
        <v>46112</v>
      </c>
      <c r="B54">
        <v>1</v>
      </c>
      <c r="C54">
        <v>0</v>
      </c>
      <c r="D54" s="15">
        <f t="shared" si="4"/>
        <v>0</v>
      </c>
      <c r="E54" s="15">
        <f t="shared" si="5"/>
        <v>0.18222557915997825</v>
      </c>
      <c r="F54" s="16">
        <f t="shared" si="6"/>
        <v>0</v>
      </c>
      <c r="G54" s="15" t="str">
        <f t="shared" si="7"/>
        <v>KONTROL İÇİNDE</v>
      </c>
    </row>
    <row r="55" spans="1:7" x14ac:dyDescent="0.35">
      <c r="A55" s="21">
        <v>46113</v>
      </c>
      <c r="B55">
        <v>2</v>
      </c>
      <c r="C55">
        <v>0</v>
      </c>
      <c r="D55" s="15">
        <f t="shared" si="4"/>
        <v>0</v>
      </c>
      <c r="E55" s="15">
        <f t="shared" si="5"/>
        <v>0.12989549923712276</v>
      </c>
      <c r="F55" s="16">
        <f t="shared" si="6"/>
        <v>0</v>
      </c>
      <c r="G55" s="15" t="str">
        <f t="shared" si="7"/>
        <v>KONTROL İÇİNDE</v>
      </c>
    </row>
    <row r="56" spans="1:7" x14ac:dyDescent="0.35">
      <c r="A56" s="21">
        <v>46115</v>
      </c>
      <c r="B56">
        <v>8</v>
      </c>
      <c r="C56">
        <v>0</v>
      </c>
      <c r="D56" s="15">
        <f t="shared" si="4"/>
        <v>0</v>
      </c>
      <c r="E56" s="15">
        <f t="shared" si="5"/>
        <v>6.6727504902209883E-2</v>
      </c>
      <c r="F56" s="16">
        <f t="shared" si="6"/>
        <v>0</v>
      </c>
      <c r="G56" s="15" t="str">
        <f t="shared" si="7"/>
        <v>KONTROL İÇİNDE</v>
      </c>
    </row>
    <row r="57" spans="1:7" x14ac:dyDescent="0.35">
      <c r="A57" s="21">
        <v>46118</v>
      </c>
      <c r="B57">
        <v>2</v>
      </c>
      <c r="C57">
        <v>0</v>
      </c>
      <c r="D57" s="15">
        <f t="shared" si="4"/>
        <v>0</v>
      </c>
      <c r="E57" s="15">
        <f t="shared" si="5"/>
        <v>0.12989549923712276</v>
      </c>
      <c r="F57" s="16">
        <f t="shared" si="6"/>
        <v>0</v>
      </c>
      <c r="G57" s="15" t="str">
        <f t="shared" si="7"/>
        <v>KONTROL İÇİNDE</v>
      </c>
    </row>
    <row r="58" spans="1:7" x14ac:dyDescent="0.35">
      <c r="A58" s="21">
        <v>46119</v>
      </c>
      <c r="B58">
        <v>14</v>
      </c>
      <c r="C58">
        <v>0</v>
      </c>
      <c r="D58" s="15">
        <f t="shared" si="4"/>
        <v>0</v>
      </c>
      <c r="E58" s="15">
        <f t="shared" si="5"/>
        <v>5.1310025946987387E-2</v>
      </c>
      <c r="F58" s="16">
        <f t="shared" si="6"/>
        <v>0</v>
      </c>
      <c r="G58" s="15" t="str">
        <f t="shared" si="7"/>
        <v>KONTROL İÇİNDE</v>
      </c>
    </row>
    <row r="59" spans="1:7" x14ac:dyDescent="0.35">
      <c r="A59" s="21">
        <v>46120</v>
      </c>
      <c r="B59">
        <v>8</v>
      </c>
      <c r="C59">
        <v>0</v>
      </c>
      <c r="D59" s="15">
        <f t="shared" si="4"/>
        <v>0</v>
      </c>
      <c r="E59" s="15">
        <f t="shared" si="5"/>
        <v>6.6727504902209883E-2</v>
      </c>
      <c r="F59" s="16">
        <f t="shared" si="6"/>
        <v>0</v>
      </c>
      <c r="G59" s="15" t="str">
        <f t="shared" si="7"/>
        <v>KONTROL İÇİNDE</v>
      </c>
    </row>
    <row r="60" spans="1:7" x14ac:dyDescent="0.35">
      <c r="A60" s="21">
        <v>46121</v>
      </c>
      <c r="B60">
        <v>25</v>
      </c>
      <c r="C60">
        <v>0</v>
      </c>
      <c r="D60" s="15">
        <f t="shared" si="4"/>
        <v>0</v>
      </c>
      <c r="E60" s="15">
        <f t="shared" si="5"/>
        <v>3.9292724285833247E-2</v>
      </c>
      <c r="F60" s="16">
        <f t="shared" si="6"/>
        <v>0</v>
      </c>
      <c r="G60" s="15" t="str">
        <f t="shared" si="7"/>
        <v>KONTROL İÇİNDE</v>
      </c>
    </row>
    <row r="61" spans="1:7" x14ac:dyDescent="0.35">
      <c r="A61" s="21">
        <v>46122</v>
      </c>
      <c r="B61">
        <v>1</v>
      </c>
      <c r="C61">
        <v>0</v>
      </c>
      <c r="D61" s="15">
        <f t="shared" si="4"/>
        <v>0</v>
      </c>
      <c r="E61" s="15">
        <f t="shared" si="5"/>
        <v>0.18222557915997825</v>
      </c>
      <c r="F61" s="16">
        <f t="shared" si="6"/>
        <v>0</v>
      </c>
      <c r="G61" s="15" t="str">
        <f t="shared" si="7"/>
        <v>KONTROL İÇİNDE</v>
      </c>
    </row>
    <row r="62" spans="1:7" x14ac:dyDescent="0.35">
      <c r="A62" s="21">
        <v>46125</v>
      </c>
      <c r="B62">
        <v>43</v>
      </c>
      <c r="C62">
        <v>0</v>
      </c>
      <c r="D62" s="15">
        <f t="shared" si="4"/>
        <v>0</v>
      </c>
      <c r="E62" s="15">
        <f t="shared" si="5"/>
        <v>3.0805830594627971E-2</v>
      </c>
      <c r="F62" s="16">
        <f t="shared" si="6"/>
        <v>0</v>
      </c>
      <c r="G62" s="15" t="str">
        <f t="shared" si="7"/>
        <v>KONTROL İÇİNDE</v>
      </c>
    </row>
    <row r="63" spans="1:7" x14ac:dyDescent="0.35">
      <c r="A63" s="21">
        <v>46126</v>
      </c>
      <c r="B63">
        <v>14</v>
      </c>
      <c r="C63">
        <v>0</v>
      </c>
      <c r="D63" s="15">
        <f t="shared" si="4"/>
        <v>0</v>
      </c>
      <c r="E63" s="15">
        <f t="shared" si="5"/>
        <v>5.1310025946987387E-2</v>
      </c>
      <c r="F63" s="16">
        <f t="shared" si="6"/>
        <v>0</v>
      </c>
      <c r="G63" s="15" t="str">
        <f t="shared" si="7"/>
        <v>KONTROL İÇİNDE</v>
      </c>
    </row>
    <row r="64" spans="1:7" x14ac:dyDescent="0.35">
      <c r="A64" s="21">
        <v>46127</v>
      </c>
      <c r="B64">
        <v>5</v>
      </c>
      <c r="C64">
        <v>0</v>
      </c>
      <c r="D64" s="15">
        <f t="shared" si="4"/>
        <v>0</v>
      </c>
      <c r="E64" s="15">
        <f t="shared" si="5"/>
        <v>8.3461405496472102E-2</v>
      </c>
      <c r="F64" s="16">
        <f t="shared" si="6"/>
        <v>0</v>
      </c>
      <c r="G64" s="15" t="str">
        <f t="shared" si="7"/>
        <v>KONTROL İÇİNDE</v>
      </c>
    </row>
    <row r="65" spans="1:7" x14ac:dyDescent="0.35">
      <c r="A65" s="21">
        <v>46128</v>
      </c>
      <c r="B65">
        <v>53</v>
      </c>
      <c r="C65">
        <v>0</v>
      </c>
      <c r="D65" s="15">
        <f t="shared" si="4"/>
        <v>0</v>
      </c>
      <c r="E65" s="15">
        <f t="shared" si="5"/>
        <v>2.8101182507682849E-2</v>
      </c>
      <c r="F65" s="16">
        <f t="shared" si="6"/>
        <v>0</v>
      </c>
      <c r="G65" s="15" t="str">
        <f t="shared" si="7"/>
        <v>KONTROL İÇİNDE</v>
      </c>
    </row>
    <row r="66" spans="1:7" x14ac:dyDescent="0.35">
      <c r="A66" s="21">
        <v>46132</v>
      </c>
      <c r="B66">
        <v>8</v>
      </c>
      <c r="C66">
        <v>0</v>
      </c>
      <c r="D66" s="15">
        <f t="shared" ref="D66:D97" si="8">C66/B66</f>
        <v>0</v>
      </c>
      <c r="E66" s="15">
        <f t="shared" ref="E66:E97" si="9">$D$150+3*SQRT($D$150*(1-$D$150)/B66)</f>
        <v>6.6727504902209883E-2</v>
      </c>
      <c r="F66" s="16">
        <f t="shared" ref="F66:F97" si="10">MAX(0,$D$150-3*SQRT($D$150*(1-$D$150)/B66))</f>
        <v>0</v>
      </c>
      <c r="G66" s="15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46133</v>
      </c>
      <c r="B67">
        <v>19</v>
      </c>
      <c r="C67">
        <v>0</v>
      </c>
      <c r="D67" s="15">
        <f t="shared" si="8"/>
        <v>0</v>
      </c>
      <c r="E67" s="15">
        <f t="shared" si="9"/>
        <v>4.4548317811255088E-2</v>
      </c>
      <c r="F67" s="16">
        <f t="shared" si="10"/>
        <v>0</v>
      </c>
      <c r="G67" s="15" t="str">
        <f t="shared" si="11"/>
        <v>KONTROL İÇİNDE</v>
      </c>
    </row>
    <row r="68" spans="1:7" x14ac:dyDescent="0.35">
      <c r="A68" s="21">
        <v>46134</v>
      </c>
      <c r="B68">
        <v>2</v>
      </c>
      <c r="C68">
        <v>0</v>
      </c>
      <c r="D68" s="15">
        <f t="shared" si="8"/>
        <v>0</v>
      </c>
      <c r="E68" s="15">
        <f t="shared" si="9"/>
        <v>0.12989549923712276</v>
      </c>
      <c r="F68" s="16">
        <f t="shared" si="10"/>
        <v>0</v>
      </c>
      <c r="G68" s="15" t="str">
        <f t="shared" si="11"/>
        <v>KONTROL İÇİNDE</v>
      </c>
    </row>
    <row r="69" spans="1:7" x14ac:dyDescent="0.35">
      <c r="A69" s="21">
        <v>46136</v>
      </c>
      <c r="B69">
        <v>51</v>
      </c>
      <c r="C69">
        <v>0</v>
      </c>
      <c r="D69" s="15">
        <f t="shared" si="8"/>
        <v>0</v>
      </c>
      <c r="E69" s="15">
        <f t="shared" si="9"/>
        <v>2.8577764321488383E-2</v>
      </c>
      <c r="F69" s="16">
        <f t="shared" si="10"/>
        <v>0</v>
      </c>
      <c r="G69" s="15" t="str">
        <f t="shared" si="11"/>
        <v>KONTROL İÇİNDE</v>
      </c>
    </row>
    <row r="70" spans="1:7" x14ac:dyDescent="0.35">
      <c r="A70" s="21">
        <v>46139</v>
      </c>
      <c r="B70">
        <v>22</v>
      </c>
      <c r="C70">
        <v>0</v>
      </c>
      <c r="D70" s="15">
        <f t="shared" si="8"/>
        <v>0</v>
      </c>
      <c r="E70" s="15">
        <f t="shared" si="9"/>
        <v>4.1651244379697271E-2</v>
      </c>
      <c r="F70" s="16">
        <f t="shared" si="10"/>
        <v>0</v>
      </c>
      <c r="G70" s="15" t="str">
        <f t="shared" si="11"/>
        <v>KONTROL İÇİNDE</v>
      </c>
    </row>
    <row r="71" spans="1:7" x14ac:dyDescent="0.35">
      <c r="A71" s="21">
        <v>46140</v>
      </c>
      <c r="B71">
        <v>72</v>
      </c>
      <c r="C71">
        <v>0</v>
      </c>
      <c r="D71" s="15">
        <f t="shared" si="8"/>
        <v>0</v>
      </c>
      <c r="E71" s="15">
        <f t="shared" si="9"/>
        <v>2.4615508678934622E-2</v>
      </c>
      <c r="F71" s="16">
        <f t="shared" si="10"/>
        <v>0</v>
      </c>
      <c r="G71" s="15" t="str">
        <f t="shared" si="11"/>
        <v>KONTROL İÇİNDE</v>
      </c>
    </row>
    <row r="72" spans="1:7" x14ac:dyDescent="0.35">
      <c r="A72" s="21">
        <v>46141</v>
      </c>
      <c r="B72">
        <v>9</v>
      </c>
      <c r="C72">
        <v>0</v>
      </c>
      <c r="D72" s="15">
        <f t="shared" si="8"/>
        <v>0</v>
      </c>
      <c r="E72" s="15">
        <f t="shared" si="9"/>
        <v>6.3114866764857419E-2</v>
      </c>
      <c r="F72" s="16">
        <f t="shared" si="10"/>
        <v>0</v>
      </c>
      <c r="G72" s="15" t="str">
        <f t="shared" si="11"/>
        <v>KONTROL İÇİNDE</v>
      </c>
    </row>
    <row r="73" spans="1:7" x14ac:dyDescent="0.35">
      <c r="A73" s="21">
        <v>46142</v>
      </c>
      <c r="B73">
        <v>8</v>
      </c>
      <c r="C73">
        <v>0</v>
      </c>
      <c r="D73" s="15">
        <f t="shared" si="8"/>
        <v>0</v>
      </c>
      <c r="E73" s="15">
        <f t="shared" si="9"/>
        <v>6.6727504902209883E-2</v>
      </c>
      <c r="F73" s="16">
        <f t="shared" si="10"/>
        <v>0</v>
      </c>
      <c r="G73" s="15" t="str">
        <f t="shared" si="11"/>
        <v>KONTROL İÇİNDE</v>
      </c>
    </row>
    <row r="74" spans="1:7" x14ac:dyDescent="0.35">
      <c r="A74" s="21">
        <v>46147</v>
      </c>
      <c r="B74">
        <v>1</v>
      </c>
      <c r="C74">
        <v>0</v>
      </c>
      <c r="D74" s="15">
        <f t="shared" si="8"/>
        <v>0</v>
      </c>
      <c r="E74" s="15">
        <f t="shared" si="9"/>
        <v>0.18222557915997825</v>
      </c>
      <c r="F74" s="16">
        <f t="shared" si="10"/>
        <v>0</v>
      </c>
      <c r="G74" s="15" t="str">
        <f t="shared" si="11"/>
        <v>KONTROL İÇİNDE</v>
      </c>
    </row>
    <row r="75" spans="1:7" x14ac:dyDescent="0.35">
      <c r="A75" s="21">
        <v>46148</v>
      </c>
      <c r="B75">
        <v>5</v>
      </c>
      <c r="C75">
        <v>0</v>
      </c>
      <c r="D75" s="15">
        <f t="shared" si="8"/>
        <v>0</v>
      </c>
      <c r="E75" s="15">
        <f t="shared" si="9"/>
        <v>8.3461405496472102E-2</v>
      </c>
      <c r="F75" s="16">
        <f t="shared" si="10"/>
        <v>0</v>
      </c>
      <c r="G75" s="15" t="str">
        <f t="shared" si="11"/>
        <v>KONTROL İÇİNDE</v>
      </c>
    </row>
    <row r="76" spans="1:7" x14ac:dyDescent="0.35">
      <c r="A76" s="21">
        <v>46149</v>
      </c>
      <c r="B76">
        <v>6</v>
      </c>
      <c r="C76">
        <v>0</v>
      </c>
      <c r="D76" s="15">
        <f t="shared" si="8"/>
        <v>0</v>
      </c>
      <c r="E76" s="15">
        <f t="shared" si="9"/>
        <v>7.6499627634158407E-2</v>
      </c>
      <c r="F76" s="16">
        <f t="shared" si="10"/>
        <v>0</v>
      </c>
      <c r="G76" s="15" t="str">
        <f t="shared" si="11"/>
        <v>KONTROL İÇİNDE</v>
      </c>
    </row>
    <row r="77" spans="1:7" x14ac:dyDescent="0.35">
      <c r="A77" s="21">
        <v>46150</v>
      </c>
      <c r="B77">
        <v>2</v>
      </c>
      <c r="C77">
        <v>0</v>
      </c>
      <c r="D77" s="15">
        <f t="shared" si="8"/>
        <v>0</v>
      </c>
      <c r="E77" s="15">
        <f t="shared" si="9"/>
        <v>0.12989549923712276</v>
      </c>
      <c r="F77" s="16">
        <f t="shared" si="10"/>
        <v>0</v>
      </c>
      <c r="G77" s="15" t="str">
        <f t="shared" si="11"/>
        <v>KONTROL İÇİNDE</v>
      </c>
    </row>
    <row r="78" spans="1:7" x14ac:dyDescent="0.35">
      <c r="A78" s="21">
        <v>46153</v>
      </c>
      <c r="B78">
        <v>1</v>
      </c>
      <c r="C78">
        <v>0</v>
      </c>
      <c r="D78" s="15">
        <f t="shared" si="8"/>
        <v>0</v>
      </c>
      <c r="E78" s="15">
        <f t="shared" si="9"/>
        <v>0.18222557915997825</v>
      </c>
      <c r="F78" s="16">
        <f t="shared" si="10"/>
        <v>0</v>
      </c>
      <c r="G78" s="15" t="str">
        <f t="shared" si="11"/>
        <v>KONTROL İÇİNDE</v>
      </c>
    </row>
    <row r="79" spans="1:7" x14ac:dyDescent="0.35">
      <c r="A79" s="21">
        <v>46156</v>
      </c>
      <c r="B79">
        <v>70</v>
      </c>
      <c r="C79">
        <v>0</v>
      </c>
      <c r="D79" s="15">
        <f t="shared" si="8"/>
        <v>0</v>
      </c>
      <c r="E79" s="15">
        <f t="shared" si="9"/>
        <v>2.4914190237224375E-2</v>
      </c>
      <c r="F79" s="16">
        <f t="shared" si="10"/>
        <v>0</v>
      </c>
      <c r="G79" s="15" t="str">
        <f t="shared" si="11"/>
        <v>KONTROL İÇİNDE</v>
      </c>
    </row>
    <row r="80" spans="1:7" x14ac:dyDescent="0.35">
      <c r="A80" s="21">
        <v>46160</v>
      </c>
      <c r="B80">
        <v>3</v>
      </c>
      <c r="C80">
        <v>0</v>
      </c>
      <c r="D80" s="15">
        <f t="shared" si="8"/>
        <v>0</v>
      </c>
      <c r="E80" s="15">
        <f t="shared" si="9"/>
        <v>0.10671241336433367</v>
      </c>
      <c r="F80" s="16">
        <f t="shared" si="10"/>
        <v>0</v>
      </c>
      <c r="G80" s="15" t="str">
        <f t="shared" si="11"/>
        <v>KONTROL İÇİNDE</v>
      </c>
    </row>
    <row r="81" spans="1:7" x14ac:dyDescent="0.35">
      <c r="A81" s="21">
        <v>46163</v>
      </c>
      <c r="B81">
        <v>2</v>
      </c>
      <c r="C81">
        <v>0</v>
      </c>
      <c r="D81" s="15">
        <f t="shared" si="8"/>
        <v>0</v>
      </c>
      <c r="E81" s="15">
        <f t="shared" si="9"/>
        <v>0.12989549923712276</v>
      </c>
      <c r="F81" s="16">
        <f t="shared" si="10"/>
        <v>0</v>
      </c>
      <c r="G81" s="15" t="str">
        <f t="shared" si="11"/>
        <v>KONTROL İÇİNDE</v>
      </c>
    </row>
    <row r="82" spans="1:7" x14ac:dyDescent="0.35">
      <c r="A82" s="21">
        <v>46176</v>
      </c>
      <c r="B82">
        <v>8</v>
      </c>
      <c r="C82">
        <v>0</v>
      </c>
      <c r="D82" s="15">
        <f t="shared" si="8"/>
        <v>0</v>
      </c>
      <c r="E82" s="15">
        <f t="shared" si="9"/>
        <v>6.6727504902209883E-2</v>
      </c>
      <c r="F82" s="16">
        <f t="shared" si="10"/>
        <v>0</v>
      </c>
      <c r="G82" s="15" t="str">
        <f t="shared" si="11"/>
        <v>KONTROL İÇİNDE</v>
      </c>
    </row>
    <row r="83" spans="1:7" x14ac:dyDescent="0.35">
      <c r="A83" s="21">
        <v>46177</v>
      </c>
      <c r="B83">
        <v>18</v>
      </c>
      <c r="C83">
        <v>0</v>
      </c>
      <c r="D83" s="15">
        <f t="shared" si="8"/>
        <v>0</v>
      </c>
      <c r="E83" s="15">
        <f t="shared" si="9"/>
        <v>4.5671506790572247E-2</v>
      </c>
      <c r="F83" s="16">
        <f t="shared" si="10"/>
        <v>0</v>
      </c>
      <c r="G83" s="15" t="str">
        <f t="shared" si="11"/>
        <v>KONTROL İÇİNDE</v>
      </c>
    </row>
    <row r="84" spans="1:7" x14ac:dyDescent="0.35">
      <c r="A84" s="21">
        <v>46178</v>
      </c>
      <c r="B84">
        <v>6</v>
      </c>
      <c r="C84">
        <v>0</v>
      </c>
      <c r="D84" s="15">
        <f t="shared" si="8"/>
        <v>0</v>
      </c>
      <c r="E84" s="15">
        <f t="shared" si="9"/>
        <v>7.6499627634158407E-2</v>
      </c>
      <c r="F84" s="16">
        <f t="shared" si="10"/>
        <v>0</v>
      </c>
      <c r="G84" s="15" t="str">
        <f t="shared" si="11"/>
        <v>KONTROL İÇİNDE</v>
      </c>
    </row>
    <row r="85" spans="1:7" x14ac:dyDescent="0.35">
      <c r="A85" s="21">
        <v>46181</v>
      </c>
      <c r="B85">
        <v>35</v>
      </c>
      <c r="C85">
        <v>0</v>
      </c>
      <c r="D85" s="15">
        <f t="shared" si="8"/>
        <v>0</v>
      </c>
      <c r="E85" s="15">
        <f t="shared" si="9"/>
        <v>3.3759588176641306E-2</v>
      </c>
      <c r="F85" s="16">
        <f t="shared" si="10"/>
        <v>0</v>
      </c>
      <c r="G85" s="15" t="str">
        <f t="shared" si="11"/>
        <v>KONTROL İÇİNDE</v>
      </c>
    </row>
    <row r="86" spans="1:7" x14ac:dyDescent="0.35">
      <c r="A86" s="21">
        <v>46182</v>
      </c>
      <c r="B86">
        <v>13</v>
      </c>
      <c r="C86">
        <v>0</v>
      </c>
      <c r="D86" s="15">
        <f t="shared" si="8"/>
        <v>0</v>
      </c>
      <c r="E86" s="15">
        <f t="shared" si="9"/>
        <v>5.3112562220872267E-2</v>
      </c>
      <c r="F86" s="16">
        <f t="shared" si="10"/>
        <v>0</v>
      </c>
      <c r="G86" s="15" t="str">
        <f t="shared" si="11"/>
        <v>KONTROL İÇİNDE</v>
      </c>
    </row>
    <row r="87" spans="1:7" x14ac:dyDescent="0.35">
      <c r="A87" s="21">
        <v>46183</v>
      </c>
      <c r="B87">
        <v>67</v>
      </c>
      <c r="C87">
        <v>0</v>
      </c>
      <c r="D87" s="15">
        <f t="shared" si="8"/>
        <v>0</v>
      </c>
      <c r="E87" s="15">
        <f t="shared" si="9"/>
        <v>2.5387044892590381E-2</v>
      </c>
      <c r="F87" s="16">
        <f t="shared" si="10"/>
        <v>0</v>
      </c>
      <c r="G87" s="15" t="str">
        <f t="shared" si="11"/>
        <v>KONTROL İÇİNDE</v>
      </c>
    </row>
    <row r="88" spans="1:7" x14ac:dyDescent="0.35">
      <c r="A88" s="21">
        <v>46184</v>
      </c>
      <c r="B88">
        <v>147</v>
      </c>
      <c r="C88">
        <v>0</v>
      </c>
      <c r="D88" s="15">
        <f t="shared" si="8"/>
        <v>0</v>
      </c>
      <c r="E88" s="15">
        <f t="shared" si="9"/>
        <v>1.8295639538302232E-2</v>
      </c>
      <c r="F88" s="16">
        <f t="shared" si="10"/>
        <v>0</v>
      </c>
      <c r="G88" s="15" t="str">
        <f t="shared" si="11"/>
        <v>KONTROL İÇİNDE</v>
      </c>
    </row>
    <row r="89" spans="1:7" x14ac:dyDescent="0.35">
      <c r="A89" s="21">
        <v>46185</v>
      </c>
      <c r="B89">
        <v>4</v>
      </c>
      <c r="C89">
        <v>0</v>
      </c>
      <c r="D89" s="15">
        <f t="shared" si="8"/>
        <v>0</v>
      </c>
      <c r="E89" s="15">
        <f t="shared" si="9"/>
        <v>9.2892544863637627E-2</v>
      </c>
      <c r="F89" s="16">
        <f t="shared" si="10"/>
        <v>0</v>
      </c>
      <c r="G89" s="15" t="str">
        <f t="shared" si="11"/>
        <v>KONTROL İÇİNDE</v>
      </c>
    </row>
    <row r="90" spans="1:7" x14ac:dyDescent="0.35">
      <c r="A90" s="21">
        <v>46186</v>
      </c>
      <c r="B90">
        <v>15</v>
      </c>
      <c r="C90">
        <v>5</v>
      </c>
      <c r="D90" s="15">
        <f t="shared" si="8"/>
        <v>0.33333333333333331</v>
      </c>
      <c r="E90" s="15">
        <f t="shared" si="9"/>
        <v>4.9690891113417429E-2</v>
      </c>
      <c r="F90" s="16">
        <f t="shared" si="10"/>
        <v>0</v>
      </c>
      <c r="G90" s="15" t="str">
        <f t="shared" si="11"/>
        <v xml:space="preserve"> KONTROL DIŞINDA</v>
      </c>
    </row>
    <row r="91" spans="1:7" x14ac:dyDescent="0.35">
      <c r="A91" s="21">
        <v>46188</v>
      </c>
      <c r="B91">
        <v>5</v>
      </c>
      <c r="C91">
        <v>0</v>
      </c>
      <c r="D91" s="15">
        <f t="shared" si="8"/>
        <v>0</v>
      </c>
      <c r="E91" s="15">
        <f t="shared" si="9"/>
        <v>8.3461405496472102E-2</v>
      </c>
      <c r="F91" s="16">
        <f t="shared" si="10"/>
        <v>0</v>
      </c>
      <c r="G91" s="15" t="str">
        <f t="shared" si="11"/>
        <v>KONTROL İÇİNDE</v>
      </c>
    </row>
    <row r="92" spans="1:7" x14ac:dyDescent="0.35">
      <c r="A92" s="21">
        <v>46189</v>
      </c>
      <c r="B92">
        <v>19</v>
      </c>
      <c r="C92">
        <v>0</v>
      </c>
      <c r="D92" s="15">
        <f t="shared" si="8"/>
        <v>0</v>
      </c>
      <c r="E92" s="15">
        <f t="shared" si="9"/>
        <v>4.4548317811255088E-2</v>
      </c>
      <c r="F92" s="16">
        <f t="shared" si="10"/>
        <v>0</v>
      </c>
      <c r="G92" s="15" t="str">
        <f t="shared" si="11"/>
        <v>KONTROL İÇİNDE</v>
      </c>
    </row>
    <row r="93" spans="1:7" x14ac:dyDescent="0.35">
      <c r="A93" s="21">
        <v>46190</v>
      </c>
      <c r="B93">
        <v>9</v>
      </c>
      <c r="C93">
        <v>0</v>
      </c>
      <c r="D93" s="15">
        <f t="shared" si="8"/>
        <v>0</v>
      </c>
      <c r="E93" s="15">
        <f t="shared" si="9"/>
        <v>6.3114866764857419E-2</v>
      </c>
      <c r="F93" s="16">
        <f t="shared" si="10"/>
        <v>0</v>
      </c>
      <c r="G93" s="15" t="str">
        <f t="shared" si="11"/>
        <v>KONTROL İÇİNDE</v>
      </c>
    </row>
    <row r="94" spans="1:7" x14ac:dyDescent="0.35">
      <c r="A94" s="21">
        <v>46191</v>
      </c>
      <c r="B94">
        <v>7</v>
      </c>
      <c r="C94">
        <v>0</v>
      </c>
      <c r="D94" s="15">
        <f t="shared" si="8"/>
        <v>0</v>
      </c>
      <c r="E94" s="15">
        <f t="shared" si="9"/>
        <v>7.1088937027560209E-2</v>
      </c>
      <c r="F94" s="16">
        <f t="shared" si="10"/>
        <v>0</v>
      </c>
      <c r="G94" s="15" t="str">
        <f t="shared" si="11"/>
        <v>KONTROL İÇİNDE</v>
      </c>
    </row>
    <row r="95" spans="1:7" x14ac:dyDescent="0.35">
      <c r="A95" s="21">
        <v>46192</v>
      </c>
      <c r="B95">
        <v>30</v>
      </c>
      <c r="C95">
        <v>0</v>
      </c>
      <c r="D95" s="15">
        <f t="shared" si="8"/>
        <v>0</v>
      </c>
      <c r="E95" s="15">
        <f t="shared" si="9"/>
        <v>3.6179322576955934E-2</v>
      </c>
      <c r="F95" s="16">
        <f t="shared" si="10"/>
        <v>0</v>
      </c>
      <c r="G95" s="15" t="str">
        <f t="shared" si="11"/>
        <v>KONTROL İÇİNDE</v>
      </c>
    </row>
    <row r="96" spans="1:7" x14ac:dyDescent="0.35">
      <c r="A96" s="21">
        <v>46195</v>
      </c>
      <c r="B96">
        <v>3</v>
      </c>
      <c r="C96">
        <v>0</v>
      </c>
      <c r="D96" s="15">
        <f t="shared" si="8"/>
        <v>0</v>
      </c>
      <c r="E96" s="15">
        <f t="shared" si="9"/>
        <v>0.10671241336433367</v>
      </c>
      <c r="F96" s="16">
        <f t="shared" si="10"/>
        <v>0</v>
      </c>
      <c r="G96" s="15" t="str">
        <f t="shared" si="11"/>
        <v>KONTROL İÇİNDE</v>
      </c>
    </row>
    <row r="97" spans="1:7" x14ac:dyDescent="0.35">
      <c r="A97" s="21">
        <v>46196</v>
      </c>
      <c r="B97">
        <v>68</v>
      </c>
      <c r="C97">
        <v>0</v>
      </c>
      <c r="D97" s="15">
        <f t="shared" si="8"/>
        <v>0</v>
      </c>
      <c r="E97" s="15">
        <f t="shared" si="9"/>
        <v>2.5225953876752139E-2</v>
      </c>
      <c r="F97" s="16">
        <f t="shared" si="10"/>
        <v>0</v>
      </c>
      <c r="G97" s="15" t="str">
        <f t="shared" si="11"/>
        <v>KONTROL İÇİNDE</v>
      </c>
    </row>
    <row r="98" spans="1:7" x14ac:dyDescent="0.35">
      <c r="A98" s="21">
        <v>46197</v>
      </c>
      <c r="B98">
        <v>12</v>
      </c>
      <c r="C98">
        <v>0</v>
      </c>
      <c r="D98" s="15">
        <f t="shared" ref="D98:D129" si="12">C98/B98</f>
        <v>0</v>
      </c>
      <c r="E98" s="15">
        <f t="shared" ref="E98:E129" si="13">$D$150+3*SQRT($D$150*(1-$D$150)/B98)</f>
        <v>5.5135961965815328E-2</v>
      </c>
      <c r="F98" s="16">
        <f t="shared" ref="F98:F129" si="14">MAX(0,$D$150-3*SQRT($D$150*(1-$D$150)/B98))</f>
        <v>0</v>
      </c>
      <c r="G98" s="15" t="str">
        <f t="shared" ref="G98:G129" si="15">IF(AND(D98&lt;=E98,D98&gt;=F98),"KONTROL İÇİNDE"," KONTROL DIŞINDA")</f>
        <v>KONTROL İÇİNDE</v>
      </c>
    </row>
    <row r="99" spans="1:7" x14ac:dyDescent="0.35">
      <c r="A99" s="21">
        <v>46198</v>
      </c>
      <c r="B99">
        <v>47</v>
      </c>
      <c r="C99">
        <v>0</v>
      </c>
      <c r="D99" s="15">
        <f t="shared" si="12"/>
        <v>0</v>
      </c>
      <c r="E99" s="15">
        <f t="shared" si="13"/>
        <v>2.962063514353069E-2</v>
      </c>
      <c r="F99" s="16">
        <f t="shared" si="14"/>
        <v>0</v>
      </c>
      <c r="G99" s="15" t="str">
        <f t="shared" si="15"/>
        <v>KONTROL İÇİNDE</v>
      </c>
    </row>
    <row r="100" spans="1:7" x14ac:dyDescent="0.35">
      <c r="A100" s="21">
        <v>46199</v>
      </c>
      <c r="B100">
        <v>3</v>
      </c>
      <c r="C100">
        <v>0</v>
      </c>
      <c r="D100" s="15">
        <f t="shared" si="12"/>
        <v>0</v>
      </c>
      <c r="E100" s="15">
        <f t="shared" si="13"/>
        <v>0.10671241336433367</v>
      </c>
      <c r="F100" s="16">
        <f t="shared" si="14"/>
        <v>0</v>
      </c>
      <c r="G100" s="15" t="str">
        <f t="shared" si="15"/>
        <v>KONTROL İÇİNDE</v>
      </c>
    </row>
    <row r="101" spans="1:7" x14ac:dyDescent="0.35">
      <c r="A101" s="21">
        <v>46203</v>
      </c>
      <c r="B101">
        <v>12</v>
      </c>
      <c r="C101">
        <v>0</v>
      </c>
      <c r="D101" s="15">
        <f t="shared" si="12"/>
        <v>0</v>
      </c>
      <c r="E101" s="15">
        <f t="shared" si="13"/>
        <v>5.5135961965815328E-2</v>
      </c>
      <c r="F101" s="16">
        <f t="shared" si="14"/>
        <v>0</v>
      </c>
      <c r="G101" s="15" t="str">
        <f t="shared" si="15"/>
        <v>KONTROL İÇİNDE</v>
      </c>
    </row>
    <row r="102" spans="1:7" x14ac:dyDescent="0.35">
      <c r="A102" s="21">
        <v>46205</v>
      </c>
      <c r="B102">
        <v>16</v>
      </c>
      <c r="C102">
        <v>0</v>
      </c>
      <c r="D102" s="15">
        <f t="shared" si="12"/>
        <v>0</v>
      </c>
      <c r="E102" s="15">
        <f t="shared" si="13"/>
        <v>4.8226027715467308E-2</v>
      </c>
      <c r="F102" s="16">
        <f t="shared" si="14"/>
        <v>0</v>
      </c>
      <c r="G102" s="15" t="str">
        <f t="shared" si="15"/>
        <v>KONTROL İÇİNDE</v>
      </c>
    </row>
    <row r="103" spans="1:7" x14ac:dyDescent="0.35">
      <c r="A103" s="21">
        <v>46206</v>
      </c>
      <c r="B103">
        <v>27</v>
      </c>
      <c r="C103">
        <v>0</v>
      </c>
      <c r="D103" s="15">
        <f t="shared" si="12"/>
        <v>0</v>
      </c>
      <c r="E103" s="15">
        <f t="shared" si="13"/>
        <v>3.794381149964255E-2</v>
      </c>
      <c r="F103" s="16">
        <f t="shared" si="14"/>
        <v>0</v>
      </c>
      <c r="G103" s="15" t="str">
        <f t="shared" si="15"/>
        <v>KONTROL İÇİNDE</v>
      </c>
    </row>
    <row r="104" spans="1:7" x14ac:dyDescent="0.35">
      <c r="A104" s="21">
        <v>46207</v>
      </c>
      <c r="B104">
        <v>224</v>
      </c>
      <c r="C104">
        <v>0</v>
      </c>
      <c r="D104" s="15">
        <f t="shared" si="12"/>
        <v>0</v>
      </c>
      <c r="E104" s="15">
        <f t="shared" si="13"/>
        <v>1.5497139412219595E-2</v>
      </c>
      <c r="F104" s="16">
        <f t="shared" si="14"/>
        <v>0</v>
      </c>
      <c r="G104" s="15" t="str">
        <f t="shared" si="15"/>
        <v>KONTROL İÇİNDE</v>
      </c>
    </row>
    <row r="105" spans="1:7" x14ac:dyDescent="0.35">
      <c r="A105" s="21">
        <v>46209</v>
      </c>
      <c r="B105">
        <v>24</v>
      </c>
      <c r="C105">
        <v>0</v>
      </c>
      <c r="D105" s="15">
        <f t="shared" si="12"/>
        <v>0</v>
      </c>
      <c r="E105" s="15">
        <f t="shared" si="13"/>
        <v>4.0029569100727698E-2</v>
      </c>
      <c r="F105" s="16">
        <f t="shared" si="14"/>
        <v>0</v>
      </c>
      <c r="G105" s="15" t="str">
        <f t="shared" si="15"/>
        <v>KONTROL İÇİNDE</v>
      </c>
    </row>
    <row r="106" spans="1:7" x14ac:dyDescent="0.35">
      <c r="A106" s="21">
        <v>46210</v>
      </c>
      <c r="B106">
        <v>11</v>
      </c>
      <c r="C106">
        <v>0</v>
      </c>
      <c r="D106" s="15">
        <f t="shared" si="12"/>
        <v>0</v>
      </c>
      <c r="E106" s="15">
        <f t="shared" si="13"/>
        <v>5.7429357139099267E-2</v>
      </c>
      <c r="F106" s="16">
        <f t="shared" si="14"/>
        <v>0</v>
      </c>
      <c r="G106" s="15" t="str">
        <f t="shared" si="15"/>
        <v>KONTROL İÇİNDE</v>
      </c>
    </row>
    <row r="107" spans="1:7" x14ac:dyDescent="0.35">
      <c r="A107" s="21">
        <v>46211</v>
      </c>
      <c r="B107">
        <v>60</v>
      </c>
      <c r="C107">
        <v>0</v>
      </c>
      <c r="D107" s="15">
        <f t="shared" si="12"/>
        <v>0</v>
      </c>
      <c r="E107" s="15">
        <f t="shared" si="13"/>
        <v>2.6625200840357213E-2</v>
      </c>
      <c r="F107" s="16">
        <f t="shared" si="14"/>
        <v>0</v>
      </c>
      <c r="G107" s="15" t="str">
        <f t="shared" si="15"/>
        <v>KONTROL İÇİNDE</v>
      </c>
    </row>
    <row r="108" spans="1:7" x14ac:dyDescent="0.35">
      <c r="A108" s="21">
        <v>46212</v>
      </c>
      <c r="B108">
        <v>41</v>
      </c>
      <c r="C108">
        <v>0</v>
      </c>
      <c r="D108" s="15">
        <f t="shared" si="12"/>
        <v>0</v>
      </c>
      <c r="E108" s="15">
        <f t="shared" si="13"/>
        <v>3.1462462621263752E-2</v>
      </c>
      <c r="F108" s="16">
        <f t="shared" si="14"/>
        <v>0</v>
      </c>
      <c r="G108" s="15" t="str">
        <f t="shared" si="15"/>
        <v>KONTROL İÇİNDE</v>
      </c>
    </row>
    <row r="109" spans="1:7" x14ac:dyDescent="0.35">
      <c r="A109" s="21">
        <v>46213</v>
      </c>
      <c r="B109">
        <v>4</v>
      </c>
      <c r="C109">
        <v>0</v>
      </c>
      <c r="D109" s="15">
        <f t="shared" si="12"/>
        <v>0</v>
      </c>
      <c r="E109" s="15">
        <f t="shared" si="13"/>
        <v>9.2892544863637627E-2</v>
      </c>
      <c r="F109" s="16">
        <f t="shared" si="14"/>
        <v>0</v>
      </c>
      <c r="G109" s="15" t="str">
        <f t="shared" si="15"/>
        <v>KONTROL İÇİNDE</v>
      </c>
    </row>
    <row r="110" spans="1:7" x14ac:dyDescent="0.35">
      <c r="A110" s="21">
        <v>46216</v>
      </c>
      <c r="B110">
        <v>3</v>
      </c>
      <c r="C110">
        <v>0</v>
      </c>
      <c r="D110" s="15">
        <f t="shared" si="12"/>
        <v>0</v>
      </c>
      <c r="E110" s="15">
        <f t="shared" si="13"/>
        <v>0.10671241336433367</v>
      </c>
      <c r="F110" s="16">
        <f t="shared" si="14"/>
        <v>0</v>
      </c>
      <c r="G110" s="15" t="str">
        <f t="shared" si="15"/>
        <v>KONTROL İÇİNDE</v>
      </c>
    </row>
    <row r="111" spans="1:7" x14ac:dyDescent="0.35">
      <c r="A111" s="21">
        <v>46217</v>
      </c>
      <c r="B111">
        <v>8</v>
      </c>
      <c r="C111">
        <v>0</v>
      </c>
      <c r="D111" s="15">
        <f t="shared" si="12"/>
        <v>0</v>
      </c>
      <c r="E111" s="15">
        <f t="shared" si="13"/>
        <v>6.6727504902209883E-2</v>
      </c>
      <c r="F111" s="16">
        <f t="shared" si="14"/>
        <v>0</v>
      </c>
      <c r="G111" s="15" t="str">
        <f t="shared" si="15"/>
        <v>KONTROL İÇİNDE</v>
      </c>
    </row>
    <row r="112" spans="1:7" x14ac:dyDescent="0.35">
      <c r="A112" s="21">
        <v>46219</v>
      </c>
      <c r="B112">
        <v>40</v>
      </c>
      <c r="C112">
        <v>0</v>
      </c>
      <c r="D112" s="15">
        <f t="shared" si="12"/>
        <v>0</v>
      </c>
      <c r="E112" s="15">
        <f t="shared" si="13"/>
        <v>3.1809096434334362E-2</v>
      </c>
      <c r="F112" s="16">
        <f t="shared" si="14"/>
        <v>0</v>
      </c>
      <c r="G112" s="15" t="str">
        <f t="shared" si="15"/>
        <v>KONTROL İÇİNDE</v>
      </c>
    </row>
    <row r="113" spans="1:7" x14ac:dyDescent="0.35">
      <c r="A113" s="21">
        <v>46220</v>
      </c>
      <c r="B113">
        <v>9</v>
      </c>
      <c r="C113">
        <v>0</v>
      </c>
      <c r="D113" s="15">
        <f t="shared" si="12"/>
        <v>0</v>
      </c>
      <c r="E113" s="15">
        <f t="shared" si="13"/>
        <v>6.3114866764857419E-2</v>
      </c>
      <c r="F113" s="16">
        <f t="shared" si="14"/>
        <v>0</v>
      </c>
      <c r="G113" s="15" t="str">
        <f t="shared" si="15"/>
        <v>KONTROL İÇİNDE</v>
      </c>
    </row>
    <row r="114" spans="1:7" x14ac:dyDescent="0.35">
      <c r="A114" s="21">
        <v>46221</v>
      </c>
      <c r="B114">
        <v>3</v>
      </c>
      <c r="C114">
        <v>0</v>
      </c>
      <c r="D114" s="15">
        <f t="shared" si="12"/>
        <v>0</v>
      </c>
      <c r="E114" s="15">
        <f t="shared" si="13"/>
        <v>0.10671241336433367</v>
      </c>
      <c r="F114" s="16">
        <f t="shared" si="14"/>
        <v>0</v>
      </c>
      <c r="G114" s="15" t="str">
        <f t="shared" si="15"/>
        <v>KONTROL İÇİNDE</v>
      </c>
    </row>
    <row r="115" spans="1:7" x14ac:dyDescent="0.35">
      <c r="A115" s="21">
        <v>46223</v>
      </c>
      <c r="B115">
        <v>42</v>
      </c>
      <c r="C115">
        <v>0</v>
      </c>
      <c r="D115" s="15">
        <f t="shared" si="12"/>
        <v>0</v>
      </c>
      <c r="E115" s="15">
        <f t="shared" si="13"/>
        <v>3.1128283475704607E-2</v>
      </c>
      <c r="F115" s="16">
        <f t="shared" si="14"/>
        <v>0</v>
      </c>
      <c r="G115" s="15" t="str">
        <f t="shared" si="15"/>
        <v>KONTROL İÇİNDE</v>
      </c>
    </row>
    <row r="116" spans="1:7" x14ac:dyDescent="0.35">
      <c r="A116" s="21">
        <v>46224</v>
      </c>
      <c r="B116">
        <v>172</v>
      </c>
      <c r="C116">
        <v>0</v>
      </c>
      <c r="D116" s="15">
        <f t="shared" si="12"/>
        <v>0</v>
      </c>
      <c r="E116" s="15">
        <f t="shared" si="13"/>
        <v>1.7182670580962484E-2</v>
      </c>
      <c r="F116" s="16">
        <f t="shared" si="14"/>
        <v>0</v>
      </c>
      <c r="G116" s="15" t="str">
        <f t="shared" si="15"/>
        <v>KONTROL İÇİNDE</v>
      </c>
    </row>
    <row r="117" spans="1:7" x14ac:dyDescent="0.35">
      <c r="A117" s="21">
        <v>46225</v>
      </c>
      <c r="B117">
        <v>4</v>
      </c>
      <c r="C117">
        <v>0</v>
      </c>
      <c r="D117" s="15">
        <f t="shared" si="12"/>
        <v>0</v>
      </c>
      <c r="E117" s="15">
        <f t="shared" si="13"/>
        <v>9.2892544863637627E-2</v>
      </c>
      <c r="F117" s="16">
        <f t="shared" si="14"/>
        <v>0</v>
      </c>
      <c r="G117" s="15" t="str">
        <f t="shared" si="15"/>
        <v>KONTROL İÇİNDE</v>
      </c>
    </row>
    <row r="118" spans="1:7" x14ac:dyDescent="0.35">
      <c r="A118" s="21">
        <v>46226</v>
      </c>
      <c r="B118">
        <v>24</v>
      </c>
      <c r="C118">
        <v>0</v>
      </c>
      <c r="D118" s="15">
        <f t="shared" si="12"/>
        <v>0</v>
      </c>
      <c r="E118" s="15">
        <f t="shared" si="13"/>
        <v>4.0029569100727698E-2</v>
      </c>
      <c r="F118" s="16">
        <f t="shared" si="14"/>
        <v>0</v>
      </c>
      <c r="G118" s="15" t="str">
        <f t="shared" si="15"/>
        <v>KONTROL İÇİNDE</v>
      </c>
    </row>
    <row r="119" spans="1:7" x14ac:dyDescent="0.35">
      <c r="A119" s="21">
        <v>46227</v>
      </c>
      <c r="B119">
        <v>22</v>
      </c>
      <c r="C119">
        <v>0</v>
      </c>
      <c r="D119" s="15">
        <f t="shared" si="12"/>
        <v>0</v>
      </c>
      <c r="E119" s="15">
        <f t="shared" si="13"/>
        <v>4.1651244379697271E-2</v>
      </c>
      <c r="F119" s="16">
        <f t="shared" si="14"/>
        <v>0</v>
      </c>
      <c r="G119" s="15" t="str">
        <f t="shared" si="15"/>
        <v>KONTROL İÇİNDE</v>
      </c>
    </row>
    <row r="120" spans="1:7" x14ac:dyDescent="0.35">
      <c r="A120" s="21">
        <v>46228</v>
      </c>
      <c r="B120">
        <v>2</v>
      </c>
      <c r="C120">
        <v>0</v>
      </c>
      <c r="D120" s="15">
        <f t="shared" si="12"/>
        <v>0</v>
      </c>
      <c r="E120" s="15">
        <f t="shared" si="13"/>
        <v>0.12989549923712276</v>
      </c>
      <c r="F120" s="16">
        <f t="shared" si="14"/>
        <v>0</v>
      </c>
      <c r="G120" s="15" t="str">
        <f t="shared" si="15"/>
        <v>KONTROL İÇİNDE</v>
      </c>
    </row>
    <row r="121" spans="1:7" x14ac:dyDescent="0.35">
      <c r="A121" s="21">
        <v>46229</v>
      </c>
      <c r="B121">
        <v>1</v>
      </c>
      <c r="C121">
        <v>0</v>
      </c>
      <c r="D121" s="15">
        <f t="shared" si="12"/>
        <v>0</v>
      </c>
      <c r="E121" s="15">
        <f t="shared" si="13"/>
        <v>0.18222557915997825</v>
      </c>
      <c r="F121" s="16">
        <f t="shared" si="14"/>
        <v>0</v>
      </c>
      <c r="G121" s="15" t="str">
        <f t="shared" si="15"/>
        <v>KONTROL İÇİNDE</v>
      </c>
    </row>
    <row r="122" spans="1:7" x14ac:dyDescent="0.35">
      <c r="A122" s="21">
        <v>46230</v>
      </c>
      <c r="B122">
        <v>30</v>
      </c>
      <c r="C122">
        <v>0</v>
      </c>
      <c r="D122" s="15">
        <f t="shared" si="12"/>
        <v>0</v>
      </c>
      <c r="E122" s="15">
        <f t="shared" si="13"/>
        <v>3.6179322576955934E-2</v>
      </c>
      <c r="F122" s="16">
        <f t="shared" si="14"/>
        <v>0</v>
      </c>
      <c r="G122" s="15" t="str">
        <f t="shared" si="15"/>
        <v>KONTROL İÇİNDE</v>
      </c>
    </row>
    <row r="123" spans="1:7" x14ac:dyDescent="0.35">
      <c r="A123" s="21">
        <v>46231</v>
      </c>
      <c r="B123">
        <v>7</v>
      </c>
      <c r="C123">
        <v>0</v>
      </c>
      <c r="D123" s="15">
        <f t="shared" si="12"/>
        <v>0</v>
      </c>
      <c r="E123" s="15">
        <f t="shared" si="13"/>
        <v>7.1088937027560209E-2</v>
      </c>
      <c r="F123" s="16">
        <f t="shared" si="14"/>
        <v>0</v>
      </c>
      <c r="G123" s="15" t="str">
        <f t="shared" si="15"/>
        <v>KONTROL İÇİNDE</v>
      </c>
    </row>
    <row r="124" spans="1:7" x14ac:dyDescent="0.35">
      <c r="A124" s="21">
        <v>46232</v>
      </c>
      <c r="B124">
        <v>20</v>
      </c>
      <c r="C124">
        <v>0</v>
      </c>
      <c r="D124" s="15">
        <f t="shared" si="12"/>
        <v>0</v>
      </c>
      <c r="E124" s="15">
        <f t="shared" si="13"/>
        <v>4.3510458031884545E-2</v>
      </c>
      <c r="F124" s="16">
        <f t="shared" si="14"/>
        <v>0</v>
      </c>
      <c r="G124" s="15" t="str">
        <f t="shared" si="15"/>
        <v>KONTROL İÇİNDE</v>
      </c>
    </row>
    <row r="125" spans="1:7" x14ac:dyDescent="0.35">
      <c r="A125" s="21">
        <v>46233</v>
      </c>
      <c r="B125">
        <v>20</v>
      </c>
      <c r="C125">
        <v>0</v>
      </c>
      <c r="D125" s="15">
        <f t="shared" si="12"/>
        <v>0</v>
      </c>
      <c r="E125" s="15">
        <f t="shared" si="13"/>
        <v>4.3510458031884545E-2</v>
      </c>
      <c r="F125" s="16">
        <f t="shared" si="14"/>
        <v>0</v>
      </c>
      <c r="G125" s="15" t="str">
        <f t="shared" si="15"/>
        <v>KONTROL İÇİNDE</v>
      </c>
    </row>
    <row r="126" spans="1:7" x14ac:dyDescent="0.35">
      <c r="A126" s="21">
        <v>46234</v>
      </c>
      <c r="B126">
        <v>36</v>
      </c>
      <c r="C126">
        <v>0</v>
      </c>
      <c r="D126" s="15">
        <f t="shared" si="12"/>
        <v>0</v>
      </c>
      <c r="E126" s="15">
        <f t="shared" si="13"/>
        <v>3.3337188666077204E-2</v>
      </c>
      <c r="F126" s="16">
        <f t="shared" si="14"/>
        <v>0</v>
      </c>
      <c r="G126" s="15" t="str">
        <f t="shared" si="15"/>
        <v>KONTROL İÇİNDE</v>
      </c>
    </row>
    <row r="127" spans="1:7" x14ac:dyDescent="0.35">
      <c r="A127" s="21">
        <v>46237</v>
      </c>
      <c r="B127">
        <v>4</v>
      </c>
      <c r="C127">
        <v>0</v>
      </c>
      <c r="D127" s="15">
        <f t="shared" si="12"/>
        <v>0</v>
      </c>
      <c r="E127" s="15">
        <f t="shared" si="13"/>
        <v>9.2892544863637627E-2</v>
      </c>
      <c r="F127" s="16">
        <f t="shared" si="14"/>
        <v>0</v>
      </c>
      <c r="G127" s="15" t="str">
        <f t="shared" si="15"/>
        <v>KONTROL İÇİNDE</v>
      </c>
    </row>
    <row r="128" spans="1:7" x14ac:dyDescent="0.35">
      <c r="A128" s="21">
        <v>46238</v>
      </c>
      <c r="B128">
        <v>8</v>
      </c>
      <c r="C128">
        <v>0</v>
      </c>
      <c r="D128" s="15">
        <f t="shared" si="12"/>
        <v>0</v>
      </c>
      <c r="E128" s="15">
        <f t="shared" si="13"/>
        <v>6.6727504902209883E-2</v>
      </c>
      <c r="F128" s="16">
        <f t="shared" si="14"/>
        <v>0</v>
      </c>
      <c r="G128" s="15" t="str">
        <f t="shared" si="15"/>
        <v>KONTROL İÇİNDE</v>
      </c>
    </row>
    <row r="129" spans="1:7" x14ac:dyDescent="0.35">
      <c r="A129" s="21">
        <v>46239</v>
      </c>
      <c r="B129">
        <v>168</v>
      </c>
      <c r="C129">
        <v>0</v>
      </c>
      <c r="D129" s="15">
        <f t="shared" si="12"/>
        <v>0</v>
      </c>
      <c r="E129" s="15">
        <f t="shared" si="13"/>
        <v>1.7343897021500802E-2</v>
      </c>
      <c r="F129" s="16">
        <f t="shared" si="14"/>
        <v>0</v>
      </c>
      <c r="G129" s="15" t="str">
        <f t="shared" si="15"/>
        <v>KONTROL İÇİNDE</v>
      </c>
    </row>
    <row r="130" spans="1:7" x14ac:dyDescent="0.35">
      <c r="A130" s="21">
        <v>46240</v>
      </c>
      <c r="B130">
        <v>73</v>
      </c>
      <c r="C130">
        <v>0</v>
      </c>
      <c r="D130" s="15">
        <f t="shared" ref="D130:D150" si="16">C130/B130</f>
        <v>0</v>
      </c>
      <c r="E130" s="15">
        <f t="shared" ref="E130:E149" si="17">$D$150+3*SQRT($D$150*(1-$D$150)/B130)</f>
        <v>2.4470792200406963E-2</v>
      </c>
      <c r="F130" s="16">
        <f t="shared" ref="F130:F149" si="18">MAX(0,$D$150-3*SQRT($D$150*(1-$D$150)/B130))</f>
        <v>0</v>
      </c>
      <c r="G130" s="15" t="str">
        <f t="shared" ref="G130:G149" si="19">IF(AND(D130&lt;=E130,D130&gt;=F130),"KONTROL İÇİNDE"," KONTROL DIŞINDA")</f>
        <v>KONTROL İÇİNDE</v>
      </c>
    </row>
    <row r="131" spans="1:7" x14ac:dyDescent="0.35">
      <c r="A131" s="21">
        <v>46241</v>
      </c>
      <c r="B131">
        <v>34</v>
      </c>
      <c r="C131">
        <v>0</v>
      </c>
      <c r="D131" s="15">
        <f t="shared" si="16"/>
        <v>0</v>
      </c>
      <c r="E131" s="15">
        <f t="shared" si="17"/>
        <v>3.4200488543916267E-2</v>
      </c>
      <c r="F131" s="16">
        <f t="shared" si="18"/>
        <v>0</v>
      </c>
      <c r="G131" s="15" t="str">
        <f t="shared" si="19"/>
        <v>KONTROL İÇİNDE</v>
      </c>
    </row>
    <row r="132" spans="1:7" x14ac:dyDescent="0.35">
      <c r="A132" s="21">
        <v>46242</v>
      </c>
      <c r="B132">
        <v>1</v>
      </c>
      <c r="C132">
        <v>0</v>
      </c>
      <c r="D132" s="15">
        <f t="shared" si="16"/>
        <v>0</v>
      </c>
      <c r="E132" s="15">
        <f t="shared" si="17"/>
        <v>0.18222557915997825</v>
      </c>
      <c r="F132" s="16">
        <f t="shared" si="18"/>
        <v>0</v>
      </c>
      <c r="G132" s="15" t="str">
        <f t="shared" si="19"/>
        <v>KONTROL İÇİNDE</v>
      </c>
    </row>
    <row r="133" spans="1:7" x14ac:dyDescent="0.35">
      <c r="A133" s="21">
        <v>46244</v>
      </c>
      <c r="B133">
        <v>22</v>
      </c>
      <c r="C133">
        <v>0</v>
      </c>
      <c r="D133" s="15">
        <f t="shared" si="16"/>
        <v>0</v>
      </c>
      <c r="E133" s="15">
        <f t="shared" si="17"/>
        <v>4.1651244379697271E-2</v>
      </c>
      <c r="F133" s="16">
        <f t="shared" si="18"/>
        <v>0</v>
      </c>
      <c r="G133" s="15" t="str">
        <f t="shared" si="19"/>
        <v>KONTROL İÇİNDE</v>
      </c>
    </row>
    <row r="134" spans="1:7" x14ac:dyDescent="0.35">
      <c r="A134" s="21">
        <v>46245</v>
      </c>
      <c r="B134">
        <v>35</v>
      </c>
      <c r="C134">
        <v>0</v>
      </c>
      <c r="D134" s="15">
        <f t="shared" si="16"/>
        <v>0</v>
      </c>
      <c r="E134" s="15">
        <f t="shared" si="17"/>
        <v>3.3759588176641306E-2</v>
      </c>
      <c r="F134" s="16">
        <f t="shared" si="18"/>
        <v>0</v>
      </c>
      <c r="G134" s="15" t="str">
        <f t="shared" si="19"/>
        <v>KONTROL İÇİNDE</v>
      </c>
    </row>
    <row r="135" spans="1:7" x14ac:dyDescent="0.35">
      <c r="A135" s="21">
        <v>46246</v>
      </c>
      <c r="B135">
        <v>175</v>
      </c>
      <c r="C135">
        <v>0</v>
      </c>
      <c r="D135" s="15">
        <f t="shared" si="16"/>
        <v>0</v>
      </c>
      <c r="E135" s="15">
        <f t="shared" si="17"/>
        <v>1.7065395859349641E-2</v>
      </c>
      <c r="F135" s="16">
        <f t="shared" si="18"/>
        <v>0</v>
      </c>
      <c r="G135" s="15" t="str">
        <f t="shared" si="19"/>
        <v>KONTROL İÇİNDE</v>
      </c>
    </row>
    <row r="136" spans="1:7" x14ac:dyDescent="0.35">
      <c r="A136" s="21">
        <v>46247</v>
      </c>
      <c r="B136">
        <v>9</v>
      </c>
      <c r="C136">
        <v>0</v>
      </c>
      <c r="D136" s="15">
        <f t="shared" si="16"/>
        <v>0</v>
      </c>
      <c r="E136" s="15">
        <f t="shared" si="17"/>
        <v>6.3114866764857419E-2</v>
      </c>
      <c r="F136" s="16">
        <f t="shared" si="18"/>
        <v>0</v>
      </c>
      <c r="G136" s="15" t="str">
        <f t="shared" si="19"/>
        <v>KONTROL İÇİNDE</v>
      </c>
    </row>
    <row r="137" spans="1:7" x14ac:dyDescent="0.35">
      <c r="A137" s="21">
        <v>46248</v>
      </c>
      <c r="B137">
        <v>30</v>
      </c>
      <c r="C137">
        <v>0</v>
      </c>
      <c r="D137" s="15">
        <f t="shared" si="16"/>
        <v>0</v>
      </c>
      <c r="E137" s="15">
        <f t="shared" si="17"/>
        <v>3.6179322576955934E-2</v>
      </c>
      <c r="F137" s="16">
        <f t="shared" si="18"/>
        <v>0</v>
      </c>
      <c r="G137" s="15" t="str">
        <f t="shared" si="19"/>
        <v>KONTROL İÇİNDE</v>
      </c>
    </row>
    <row r="138" spans="1:7" x14ac:dyDescent="0.35">
      <c r="A138" s="21">
        <v>46250</v>
      </c>
      <c r="B138">
        <v>2</v>
      </c>
      <c r="C138">
        <v>0</v>
      </c>
      <c r="D138" s="15">
        <f t="shared" si="16"/>
        <v>0</v>
      </c>
      <c r="E138" s="15">
        <f t="shared" si="17"/>
        <v>0.12989549923712276</v>
      </c>
      <c r="F138" s="16">
        <f t="shared" si="18"/>
        <v>0</v>
      </c>
      <c r="G138" s="15" t="str">
        <f t="shared" si="19"/>
        <v>KONTROL İÇİNDE</v>
      </c>
    </row>
    <row r="139" spans="1:7" x14ac:dyDescent="0.35">
      <c r="A139" s="21">
        <v>46251</v>
      </c>
      <c r="B139">
        <v>66</v>
      </c>
      <c r="C139">
        <v>0</v>
      </c>
      <c r="D139" s="15">
        <f t="shared" si="16"/>
        <v>0</v>
      </c>
      <c r="E139" s="15">
        <f t="shared" si="17"/>
        <v>2.5551783337785863E-2</v>
      </c>
      <c r="F139" s="16">
        <f t="shared" si="18"/>
        <v>0</v>
      </c>
      <c r="G139" s="15" t="str">
        <f t="shared" si="19"/>
        <v>KONTROL İÇİNDE</v>
      </c>
    </row>
    <row r="140" spans="1:7" x14ac:dyDescent="0.35">
      <c r="A140" s="21">
        <v>46252</v>
      </c>
      <c r="B140">
        <v>47</v>
      </c>
      <c r="C140">
        <v>0</v>
      </c>
      <c r="D140" s="15">
        <f t="shared" si="16"/>
        <v>0</v>
      </c>
      <c r="E140" s="15">
        <f t="shared" si="17"/>
        <v>2.962063514353069E-2</v>
      </c>
      <c r="F140" s="16">
        <f t="shared" si="18"/>
        <v>0</v>
      </c>
      <c r="G140" s="15" t="str">
        <f t="shared" si="19"/>
        <v>KONTROL İÇİNDE</v>
      </c>
    </row>
    <row r="141" spans="1:7" x14ac:dyDescent="0.35">
      <c r="A141" s="21">
        <v>46253</v>
      </c>
      <c r="B141">
        <v>21</v>
      </c>
      <c r="C141">
        <v>0</v>
      </c>
      <c r="D141" s="15">
        <f t="shared" si="16"/>
        <v>0</v>
      </c>
      <c r="E141" s="15">
        <f t="shared" si="17"/>
        <v>4.2547643112351E-2</v>
      </c>
      <c r="F141" s="16">
        <f t="shared" si="18"/>
        <v>0</v>
      </c>
      <c r="G141" s="15" t="str">
        <f t="shared" si="19"/>
        <v>KONTROL İÇİNDE</v>
      </c>
    </row>
    <row r="142" spans="1:7" x14ac:dyDescent="0.35">
      <c r="A142" s="21">
        <v>46254</v>
      </c>
      <c r="B142">
        <v>25</v>
      </c>
      <c r="C142">
        <v>0</v>
      </c>
      <c r="D142" s="15">
        <f t="shared" si="16"/>
        <v>0</v>
      </c>
      <c r="E142" s="15">
        <f t="shared" si="17"/>
        <v>3.9292724285833247E-2</v>
      </c>
      <c r="F142" s="16">
        <f t="shared" si="18"/>
        <v>0</v>
      </c>
      <c r="G142" s="15" t="str">
        <f t="shared" si="19"/>
        <v>KONTROL İÇİNDE</v>
      </c>
    </row>
    <row r="143" spans="1:7" x14ac:dyDescent="0.35">
      <c r="A143" s="21">
        <v>46255</v>
      </c>
      <c r="B143">
        <v>209</v>
      </c>
      <c r="C143">
        <v>0</v>
      </c>
      <c r="D143" s="15">
        <f t="shared" si="16"/>
        <v>0</v>
      </c>
      <c r="E143" s="15">
        <f t="shared" si="17"/>
        <v>1.591810095206158E-2</v>
      </c>
      <c r="F143" s="16">
        <f t="shared" si="18"/>
        <v>0</v>
      </c>
      <c r="G143" s="15" t="str">
        <f t="shared" si="19"/>
        <v>KONTROL İÇİNDE</v>
      </c>
    </row>
    <row r="144" spans="1:7" x14ac:dyDescent="0.35">
      <c r="A144" s="21">
        <v>46256</v>
      </c>
      <c r="B144">
        <v>23</v>
      </c>
      <c r="C144">
        <v>0</v>
      </c>
      <c r="D144" s="15">
        <f t="shared" si="16"/>
        <v>0</v>
      </c>
      <c r="E144" s="15">
        <f t="shared" si="17"/>
        <v>4.0813961171781057E-2</v>
      </c>
      <c r="F144" s="16">
        <f t="shared" si="18"/>
        <v>0</v>
      </c>
      <c r="G144" s="15" t="str">
        <f t="shared" si="19"/>
        <v>KONTROL İÇİNDE</v>
      </c>
    </row>
    <row r="145" spans="1:7" x14ac:dyDescent="0.35">
      <c r="A145" s="21">
        <v>46258</v>
      </c>
      <c r="B145">
        <v>42</v>
      </c>
      <c r="C145">
        <v>0</v>
      </c>
      <c r="D145" s="15">
        <f t="shared" si="16"/>
        <v>0</v>
      </c>
      <c r="E145" s="15">
        <f t="shared" si="17"/>
        <v>3.1128283475704607E-2</v>
      </c>
      <c r="F145" s="16">
        <f t="shared" si="18"/>
        <v>0</v>
      </c>
      <c r="G145" s="15" t="str">
        <f t="shared" si="19"/>
        <v>KONTROL İÇİNDE</v>
      </c>
    </row>
    <row r="146" spans="1:7" x14ac:dyDescent="0.35">
      <c r="A146" s="21">
        <v>46259</v>
      </c>
      <c r="B146">
        <v>17</v>
      </c>
      <c r="C146">
        <v>0</v>
      </c>
      <c r="D146" s="15">
        <f t="shared" si="16"/>
        <v>0</v>
      </c>
      <c r="E146" s="15">
        <f t="shared" si="17"/>
        <v>4.6892397186207281E-2</v>
      </c>
      <c r="F146" s="16">
        <f t="shared" si="18"/>
        <v>0</v>
      </c>
      <c r="G146" s="15" t="str">
        <f t="shared" si="19"/>
        <v>KONTROL İÇİNDE</v>
      </c>
    </row>
    <row r="147" spans="1:7" x14ac:dyDescent="0.35">
      <c r="A147" s="21">
        <v>46260</v>
      </c>
      <c r="B147">
        <v>46</v>
      </c>
      <c r="C147">
        <v>0</v>
      </c>
      <c r="D147" s="15">
        <f t="shared" si="16"/>
        <v>0</v>
      </c>
      <c r="E147" s="15">
        <f t="shared" si="17"/>
        <v>2.9902385219106944E-2</v>
      </c>
      <c r="F147" s="16">
        <f t="shared" si="18"/>
        <v>0</v>
      </c>
      <c r="G147" s="15" t="str">
        <f t="shared" si="19"/>
        <v>KONTROL İÇİNDE</v>
      </c>
    </row>
    <row r="148" spans="1:7" x14ac:dyDescent="0.35">
      <c r="A148" s="21">
        <v>46261</v>
      </c>
      <c r="B148">
        <v>160</v>
      </c>
      <c r="C148">
        <v>0</v>
      </c>
      <c r="D148" s="15">
        <f t="shared" si="16"/>
        <v>0</v>
      </c>
      <c r="E148" s="15">
        <f t="shared" si="17"/>
        <v>1.7684303500815679E-2</v>
      </c>
      <c r="F148" s="16">
        <f t="shared" si="18"/>
        <v>0</v>
      </c>
      <c r="G148" s="15" t="str">
        <f t="shared" si="19"/>
        <v>KONTROL İÇİNDE</v>
      </c>
    </row>
    <row r="149" spans="1:7" x14ac:dyDescent="0.35">
      <c r="A149" s="21">
        <v>46262</v>
      </c>
      <c r="B149">
        <v>57</v>
      </c>
      <c r="C149">
        <v>0</v>
      </c>
      <c r="D149" s="15">
        <f t="shared" si="16"/>
        <v>0</v>
      </c>
      <c r="E149" s="15">
        <f t="shared" si="17"/>
        <v>2.7224409463357885E-2</v>
      </c>
      <c r="F149" s="16">
        <f t="shared" si="18"/>
        <v>0</v>
      </c>
      <c r="G149" s="15" t="str">
        <f t="shared" si="19"/>
        <v>KONTROL İÇİNDE</v>
      </c>
    </row>
    <row r="150" spans="1:7" x14ac:dyDescent="0.35">
      <c r="A150" s="25"/>
      <c r="B150" s="26">
        <f>SUM(B2:B149)</f>
        <v>4495</v>
      </c>
      <c r="C150" s="26">
        <f>SUM(C2:C149)</f>
        <v>16</v>
      </c>
      <c r="D150" s="15">
        <f t="shared" si="16"/>
        <v>3.5595105672969968E-3</v>
      </c>
    </row>
    <row r="151" spans="1:7" x14ac:dyDescent="0.35">
      <c r="A151" s="25"/>
      <c r="B151" s="26"/>
      <c r="C151" s="26"/>
    </row>
    <row r="152" spans="1:7" x14ac:dyDescent="0.35">
      <c r="A152" s="25"/>
      <c r="B152" s="26"/>
      <c r="C152" s="26"/>
    </row>
    <row r="153" spans="1:7" x14ac:dyDescent="0.35">
      <c r="A153" s="25"/>
      <c r="B153" s="26"/>
      <c r="C153" s="26"/>
    </row>
    <row r="154" spans="1:7" x14ac:dyDescent="0.35">
      <c r="A154" s="25"/>
      <c r="B154" s="26"/>
      <c r="C154" s="26"/>
    </row>
    <row r="155" spans="1:7" x14ac:dyDescent="0.35">
      <c r="A155" s="25"/>
      <c r="B155" s="26"/>
      <c r="C155" s="26"/>
    </row>
    <row r="156" spans="1:7" x14ac:dyDescent="0.35">
      <c r="A156" s="25"/>
      <c r="B156" s="26"/>
      <c r="C156" s="26"/>
    </row>
    <row r="157" spans="1:7" x14ac:dyDescent="0.35">
      <c r="A157" s="25"/>
      <c r="B157" s="26"/>
      <c r="C157" s="26"/>
    </row>
    <row r="158" spans="1:7" x14ac:dyDescent="0.35">
      <c r="A158" s="25"/>
      <c r="B158" s="26"/>
      <c r="C158" s="26"/>
    </row>
    <row r="159" spans="1:7" x14ac:dyDescent="0.35">
      <c r="A159" s="25"/>
      <c r="B159" s="26"/>
      <c r="C159" s="26"/>
    </row>
    <row r="160" spans="1:7" x14ac:dyDescent="0.35">
      <c r="A160" s="25"/>
      <c r="B160" s="26"/>
      <c r="C160" s="26"/>
    </row>
    <row r="161" spans="1:3" x14ac:dyDescent="0.35">
      <c r="A161" s="25"/>
      <c r="B161" s="26"/>
      <c r="C161" s="26"/>
    </row>
    <row r="162" spans="1:3" x14ac:dyDescent="0.35">
      <c r="A162" s="25"/>
      <c r="B162" s="26"/>
      <c r="C162" s="26"/>
    </row>
    <row r="163" spans="1:3" x14ac:dyDescent="0.35">
      <c r="A163" s="25"/>
      <c r="B163" s="26"/>
      <c r="C163" s="26"/>
    </row>
    <row r="164" spans="1:3" x14ac:dyDescent="0.35">
      <c r="A164" s="25"/>
      <c r="B164" s="26"/>
      <c r="C164" s="26"/>
    </row>
    <row r="165" spans="1:3" x14ac:dyDescent="0.35">
      <c r="A165" s="25"/>
      <c r="B165" s="26"/>
      <c r="C165" s="26"/>
    </row>
    <row r="166" spans="1:3" x14ac:dyDescent="0.35">
      <c r="A166" s="25"/>
      <c r="B166" s="26"/>
      <c r="C166" s="26"/>
    </row>
    <row r="167" spans="1:3" x14ac:dyDescent="0.35">
      <c r="A167" s="25"/>
      <c r="B167" s="26"/>
      <c r="C167" s="26"/>
    </row>
    <row r="168" spans="1:3" x14ac:dyDescent="0.35">
      <c r="A168" s="25"/>
      <c r="B168" s="26"/>
      <c r="C168" s="26"/>
    </row>
    <row r="169" spans="1:3" x14ac:dyDescent="0.35">
      <c r="A169" s="25"/>
      <c r="B169" s="26"/>
      <c r="C169" s="26"/>
    </row>
    <row r="170" spans="1:3" x14ac:dyDescent="0.35">
      <c r="A170" s="25"/>
      <c r="B170" s="26"/>
      <c r="C170" s="26"/>
    </row>
    <row r="171" spans="1:3" x14ac:dyDescent="0.35">
      <c r="A171" s="25"/>
      <c r="B171" s="26"/>
      <c r="C171" s="26"/>
    </row>
    <row r="172" spans="1:3" x14ac:dyDescent="0.35">
      <c r="A172" s="25"/>
      <c r="B172" s="26"/>
      <c r="C172" s="26"/>
    </row>
    <row r="173" spans="1:3" x14ac:dyDescent="0.35">
      <c r="A173" s="25"/>
      <c r="B173" s="26"/>
      <c r="C173" s="26"/>
    </row>
    <row r="174" spans="1:3" x14ac:dyDescent="0.35">
      <c r="A174" s="25"/>
      <c r="B174" s="26"/>
      <c r="C174" s="26"/>
    </row>
    <row r="175" spans="1:3" x14ac:dyDescent="0.35">
      <c r="A175" s="25"/>
      <c r="B175" s="26"/>
      <c r="C175" s="26"/>
    </row>
    <row r="176" spans="1:3" x14ac:dyDescent="0.35">
      <c r="A176" s="25"/>
      <c r="B176" s="26"/>
      <c r="C176" s="26"/>
    </row>
    <row r="177" spans="1:3" x14ac:dyDescent="0.35">
      <c r="A177" s="25"/>
      <c r="B177" s="26"/>
      <c r="C177" s="26"/>
    </row>
    <row r="178" spans="1:3" x14ac:dyDescent="0.35">
      <c r="A178" s="25"/>
      <c r="B178" s="26"/>
      <c r="C178" s="26"/>
    </row>
    <row r="179" spans="1:3" x14ac:dyDescent="0.35">
      <c r="A179" s="25"/>
      <c r="B179" s="26"/>
      <c r="C179" s="26"/>
    </row>
    <row r="180" spans="1:3" x14ac:dyDescent="0.35">
      <c r="A180" s="25"/>
      <c r="B180" s="26"/>
      <c r="C180" s="26"/>
    </row>
    <row r="181" spans="1:3" x14ac:dyDescent="0.35">
      <c r="A181" s="25"/>
      <c r="B181" s="26"/>
      <c r="C181" s="26"/>
    </row>
    <row r="182" spans="1:3" x14ac:dyDescent="0.35">
      <c r="A182" s="25"/>
      <c r="B182" s="26"/>
      <c r="C182" s="26"/>
    </row>
    <row r="183" spans="1:3" x14ac:dyDescent="0.35">
      <c r="A183" s="25"/>
      <c r="B183" s="26"/>
      <c r="C183" s="26"/>
    </row>
    <row r="184" spans="1:3" x14ac:dyDescent="0.35">
      <c r="A184" s="25"/>
      <c r="B184" s="26"/>
      <c r="C184" s="26"/>
    </row>
    <row r="185" spans="1:3" x14ac:dyDescent="0.35">
      <c r="A185" s="25"/>
      <c r="B185" s="26"/>
      <c r="C185" s="26"/>
    </row>
    <row r="186" spans="1:3" x14ac:dyDescent="0.35">
      <c r="A186" s="25"/>
      <c r="B186" s="26"/>
      <c r="C186" s="26"/>
    </row>
    <row r="187" spans="1:3" x14ac:dyDescent="0.35">
      <c r="A187" s="25"/>
      <c r="B187" s="26"/>
      <c r="C187" s="26"/>
    </row>
    <row r="188" spans="1:3" x14ac:dyDescent="0.35">
      <c r="A188" s="25"/>
      <c r="B188" s="26"/>
      <c r="C188" s="26"/>
    </row>
    <row r="189" spans="1:3" x14ac:dyDescent="0.35">
      <c r="A189" s="25"/>
      <c r="B189" s="26"/>
      <c r="C189" s="26"/>
    </row>
    <row r="190" spans="1:3" x14ac:dyDescent="0.35">
      <c r="A190" s="25"/>
      <c r="B190" s="26"/>
      <c r="C190" s="26"/>
    </row>
    <row r="191" spans="1:3" x14ac:dyDescent="0.35">
      <c r="A191" s="25"/>
      <c r="B191" s="26"/>
      <c r="C191" s="26"/>
    </row>
    <row r="192" spans="1:3" x14ac:dyDescent="0.35">
      <c r="A192" s="25"/>
      <c r="B192" s="26"/>
      <c r="C192" s="26"/>
    </row>
    <row r="193" spans="1:3" x14ac:dyDescent="0.35">
      <c r="A193" s="25"/>
      <c r="B193" s="26"/>
      <c r="C193" s="26"/>
    </row>
    <row r="194" spans="1:3" x14ac:dyDescent="0.35">
      <c r="A194" s="25"/>
      <c r="B194" s="26"/>
      <c r="C194" s="26"/>
    </row>
    <row r="195" spans="1:3" x14ac:dyDescent="0.35">
      <c r="A195" s="25"/>
      <c r="B195" s="26"/>
      <c r="C195" s="26"/>
    </row>
    <row r="196" spans="1:3" x14ac:dyDescent="0.35">
      <c r="A196" s="25"/>
      <c r="B196" s="26"/>
      <c r="C196" s="26"/>
    </row>
    <row r="197" spans="1:3" x14ac:dyDescent="0.35">
      <c r="A197" s="25"/>
      <c r="B197" s="26"/>
      <c r="C197" s="26"/>
    </row>
    <row r="198" spans="1:3" x14ac:dyDescent="0.35">
      <c r="A198" s="25"/>
      <c r="B198" s="26"/>
      <c r="C198" s="26"/>
    </row>
    <row r="199" spans="1:3" x14ac:dyDescent="0.35">
      <c r="A199" s="25"/>
      <c r="B199" s="26"/>
      <c r="C199" s="26"/>
    </row>
    <row r="200" spans="1:3" x14ac:dyDescent="0.35">
      <c r="A200" s="25"/>
      <c r="B200" s="26"/>
      <c r="C200" s="26"/>
    </row>
    <row r="201" spans="1:3" x14ac:dyDescent="0.35">
      <c r="A201" s="25"/>
      <c r="B201" s="26"/>
      <c r="C201" s="26"/>
    </row>
    <row r="202" spans="1:3" x14ac:dyDescent="0.35">
      <c r="A202" s="25"/>
      <c r="B202" s="26"/>
      <c r="C202" s="26"/>
    </row>
    <row r="203" spans="1:3" x14ac:dyDescent="0.35">
      <c r="A203" s="25"/>
      <c r="B203" s="26"/>
      <c r="C203" s="26"/>
    </row>
    <row r="204" spans="1:3" x14ac:dyDescent="0.35">
      <c r="A204" s="25"/>
      <c r="B204" s="26"/>
      <c r="C204" s="26"/>
    </row>
    <row r="205" spans="1:3" x14ac:dyDescent="0.35">
      <c r="A205" s="25"/>
      <c r="B205" s="26"/>
      <c r="C205" s="26"/>
    </row>
    <row r="206" spans="1:3" x14ac:dyDescent="0.35">
      <c r="A206" s="25"/>
      <c r="B206" s="26"/>
      <c r="C206" s="26"/>
    </row>
    <row r="207" spans="1:3" x14ac:dyDescent="0.35">
      <c r="A207" s="25"/>
      <c r="B207" s="26"/>
      <c r="C207" s="26"/>
    </row>
    <row r="208" spans="1:3" x14ac:dyDescent="0.35">
      <c r="A208" s="25"/>
      <c r="B208" s="26"/>
      <c r="C208" s="26"/>
    </row>
    <row r="209" spans="1:3" x14ac:dyDescent="0.35">
      <c r="A209" s="25"/>
      <c r="B209" s="26"/>
      <c r="C209" s="26"/>
    </row>
    <row r="210" spans="1:3" x14ac:dyDescent="0.35">
      <c r="A210" s="25"/>
      <c r="B210" s="26"/>
      <c r="C210" s="26"/>
    </row>
    <row r="211" spans="1:3" x14ac:dyDescent="0.35">
      <c r="A211" s="25"/>
      <c r="B211" s="26"/>
      <c r="C211" s="26"/>
    </row>
    <row r="212" spans="1:3" x14ac:dyDescent="0.35">
      <c r="A212" s="25"/>
      <c r="B212" s="26"/>
      <c r="C212" s="26"/>
    </row>
    <row r="213" spans="1:3" x14ac:dyDescent="0.35">
      <c r="A213" s="25"/>
      <c r="B213" s="26"/>
      <c r="C213" s="26"/>
    </row>
    <row r="214" spans="1:3" x14ac:dyDescent="0.35">
      <c r="A214" s="25"/>
      <c r="B214" s="26"/>
      <c r="C214" s="26"/>
    </row>
    <row r="215" spans="1:3" x14ac:dyDescent="0.35">
      <c r="A215" s="25"/>
      <c r="B215" s="26"/>
      <c r="C215" s="26"/>
    </row>
    <row r="216" spans="1:3" x14ac:dyDescent="0.35">
      <c r="A216" s="25"/>
      <c r="B216" s="26"/>
      <c r="C216" s="26"/>
    </row>
    <row r="217" spans="1:3" x14ac:dyDescent="0.35">
      <c r="A217" s="25"/>
      <c r="B217" s="26"/>
      <c r="C217" s="26"/>
    </row>
    <row r="218" spans="1:3" x14ac:dyDescent="0.35">
      <c r="A218" s="25"/>
      <c r="B218" s="26"/>
      <c r="C218" s="26"/>
    </row>
    <row r="219" spans="1:3" x14ac:dyDescent="0.35">
      <c r="A219" s="25"/>
      <c r="B219" s="26"/>
      <c r="C219" s="26"/>
    </row>
    <row r="220" spans="1:3" x14ac:dyDescent="0.35">
      <c r="A220" s="25"/>
      <c r="B220" s="26"/>
      <c r="C220" s="26"/>
    </row>
    <row r="221" spans="1:3" x14ac:dyDescent="0.35">
      <c r="A221" s="25"/>
      <c r="B221" s="26"/>
      <c r="C221" s="26"/>
    </row>
    <row r="222" spans="1:3" x14ac:dyDescent="0.35">
      <c r="A222" s="25"/>
      <c r="B222" s="26"/>
      <c r="C222" s="26"/>
    </row>
    <row r="223" spans="1:3" x14ac:dyDescent="0.35">
      <c r="A223" s="25"/>
      <c r="B223" s="26"/>
      <c r="C223" s="26"/>
    </row>
    <row r="224" spans="1:3" x14ac:dyDescent="0.35">
      <c r="A224" s="25"/>
      <c r="B224" s="26"/>
      <c r="C224" s="26"/>
    </row>
    <row r="225" spans="1:3" x14ac:dyDescent="0.35">
      <c r="A225" s="25"/>
      <c r="B225" s="26"/>
      <c r="C225" s="26"/>
    </row>
    <row r="226" spans="1:3" x14ac:dyDescent="0.35">
      <c r="A226" s="25"/>
      <c r="B226" s="26"/>
      <c r="C226" s="26"/>
    </row>
    <row r="227" spans="1:3" x14ac:dyDescent="0.35">
      <c r="A227" s="25"/>
      <c r="B227" s="26"/>
      <c r="C227" s="26"/>
    </row>
    <row r="228" spans="1:3" x14ac:dyDescent="0.35">
      <c r="A228" s="25"/>
      <c r="B228" s="26"/>
      <c r="C228" s="26"/>
    </row>
    <row r="229" spans="1:3" x14ac:dyDescent="0.35">
      <c r="A229" s="25"/>
      <c r="B229" s="26"/>
      <c r="C229" s="26"/>
    </row>
    <row r="230" spans="1:3" x14ac:dyDescent="0.35">
      <c r="A230" s="25"/>
      <c r="B230" s="26"/>
      <c r="C230" s="26"/>
    </row>
    <row r="231" spans="1:3" x14ac:dyDescent="0.35">
      <c r="A231" s="25"/>
      <c r="B231" s="26"/>
      <c r="C231" s="26"/>
    </row>
    <row r="232" spans="1:3" x14ac:dyDescent="0.35">
      <c r="A232" s="25"/>
      <c r="B232" s="26"/>
      <c r="C232" s="26"/>
    </row>
    <row r="233" spans="1:3" x14ac:dyDescent="0.35">
      <c r="A233" s="25"/>
      <c r="B233" s="26"/>
      <c r="C233" s="26"/>
    </row>
    <row r="234" spans="1:3" x14ac:dyDescent="0.35">
      <c r="A234" s="25"/>
      <c r="B234" s="26"/>
      <c r="C234" s="26"/>
    </row>
    <row r="235" spans="1:3" x14ac:dyDescent="0.35">
      <c r="A235" s="25"/>
      <c r="B235" s="26"/>
      <c r="C235" s="26"/>
    </row>
    <row r="236" spans="1:3" x14ac:dyDescent="0.35">
      <c r="A236" s="25"/>
      <c r="B236" s="26"/>
      <c r="C236" s="26"/>
    </row>
    <row r="237" spans="1:3" x14ac:dyDescent="0.35">
      <c r="A237" s="25"/>
      <c r="B237" s="26"/>
      <c r="C237" s="26"/>
    </row>
    <row r="238" spans="1:3" x14ac:dyDescent="0.35">
      <c r="A238" s="25"/>
      <c r="B238" s="26"/>
      <c r="C238" s="26"/>
    </row>
    <row r="239" spans="1:3" x14ac:dyDescent="0.35">
      <c r="A239" s="25"/>
      <c r="B239" s="26"/>
      <c r="C239" s="26"/>
    </row>
    <row r="240" spans="1:3" x14ac:dyDescent="0.35">
      <c r="A240" s="25"/>
      <c r="B240" s="26"/>
      <c r="C240" s="26"/>
    </row>
    <row r="241" spans="1:3" x14ac:dyDescent="0.35">
      <c r="A241" s="25"/>
      <c r="B241" s="26"/>
      <c r="C241" s="26"/>
    </row>
    <row r="242" spans="1:3" x14ac:dyDescent="0.35">
      <c r="A242" s="25"/>
      <c r="B242" s="26"/>
      <c r="C242" s="26"/>
    </row>
    <row r="243" spans="1:3" x14ac:dyDescent="0.35">
      <c r="A243" s="25"/>
      <c r="B243" s="26"/>
      <c r="C243" s="26"/>
    </row>
    <row r="244" spans="1:3" x14ac:dyDescent="0.35">
      <c r="A244" s="25"/>
      <c r="B244" s="26"/>
      <c r="C244" s="26"/>
    </row>
    <row r="245" spans="1:3" x14ac:dyDescent="0.35">
      <c r="A245" s="25"/>
      <c r="B245" s="26"/>
      <c r="C245" s="26"/>
    </row>
    <row r="246" spans="1:3" x14ac:dyDescent="0.35">
      <c r="A246" s="25"/>
      <c r="B246" s="26"/>
      <c r="C246" s="26"/>
    </row>
    <row r="247" spans="1:3" x14ac:dyDescent="0.35">
      <c r="A247" s="25"/>
      <c r="B247" s="26"/>
      <c r="C247" s="26"/>
    </row>
    <row r="248" spans="1:3" x14ac:dyDescent="0.35">
      <c r="A248" s="25"/>
      <c r="B248" s="26"/>
      <c r="C248" s="26"/>
    </row>
    <row r="249" spans="1:3" x14ac:dyDescent="0.35">
      <c r="A249" s="25"/>
      <c r="B249" s="26"/>
      <c r="C249" s="26"/>
    </row>
    <row r="250" spans="1:3" x14ac:dyDescent="0.35">
      <c r="A250" s="25"/>
      <c r="B250" s="26"/>
      <c r="C250" s="26"/>
    </row>
    <row r="251" spans="1:3" x14ac:dyDescent="0.35">
      <c r="A251" s="25"/>
      <c r="B251" s="26"/>
      <c r="C251" s="26"/>
    </row>
    <row r="252" spans="1:3" x14ac:dyDescent="0.35">
      <c r="A252" s="25"/>
      <c r="B252" s="26"/>
      <c r="C252" s="26"/>
    </row>
    <row r="253" spans="1:3" x14ac:dyDescent="0.35">
      <c r="A253" s="25"/>
      <c r="B253" s="26"/>
      <c r="C253" s="26"/>
    </row>
    <row r="254" spans="1:3" x14ac:dyDescent="0.35">
      <c r="A254" s="25"/>
      <c r="B254" s="26"/>
      <c r="C254" s="26"/>
    </row>
    <row r="255" spans="1:3" x14ac:dyDescent="0.35">
      <c r="A255" s="25"/>
      <c r="B255" s="26"/>
      <c r="C255" s="26"/>
    </row>
    <row r="256" spans="1:3" x14ac:dyDescent="0.35">
      <c r="A256" s="25"/>
      <c r="B256" s="26"/>
      <c r="C256" s="26"/>
    </row>
    <row r="257" spans="1:3" x14ac:dyDescent="0.35">
      <c r="A257" s="25"/>
      <c r="B257" s="26"/>
      <c r="C257" s="26"/>
    </row>
    <row r="258" spans="1:3" x14ac:dyDescent="0.35">
      <c r="A258" s="25"/>
      <c r="B258" s="26"/>
      <c r="C258" s="26"/>
    </row>
    <row r="259" spans="1:3" x14ac:dyDescent="0.35">
      <c r="A259" s="25"/>
      <c r="B259" s="26"/>
      <c r="C259" s="26"/>
    </row>
    <row r="260" spans="1:3" x14ac:dyDescent="0.35">
      <c r="A260" s="25"/>
      <c r="B260" s="26"/>
      <c r="C260" s="26"/>
    </row>
    <row r="261" spans="1:3" x14ac:dyDescent="0.35">
      <c r="A261" s="25"/>
      <c r="B261" s="26"/>
      <c r="C261" s="26"/>
    </row>
    <row r="262" spans="1:3" x14ac:dyDescent="0.35">
      <c r="A262" s="25"/>
      <c r="B262" s="26"/>
      <c r="C262" s="26"/>
    </row>
    <row r="263" spans="1:3" x14ac:dyDescent="0.35">
      <c r="A263" s="25"/>
      <c r="B263" s="26"/>
      <c r="C263" s="26"/>
    </row>
    <row r="264" spans="1:3" x14ac:dyDescent="0.35">
      <c r="A264" s="25"/>
      <c r="B264" s="26"/>
      <c r="C264" s="26"/>
    </row>
    <row r="265" spans="1:3" x14ac:dyDescent="0.35">
      <c r="A265" s="25"/>
      <c r="B265" s="26"/>
      <c r="C265" s="26"/>
    </row>
    <row r="266" spans="1:3" x14ac:dyDescent="0.35">
      <c r="A266" s="25"/>
      <c r="B266" s="26"/>
      <c r="C266" s="26"/>
    </row>
    <row r="267" spans="1:3" x14ac:dyDescent="0.35">
      <c r="A267" s="25"/>
      <c r="B267" s="26"/>
      <c r="C267" s="26"/>
    </row>
    <row r="268" spans="1:3" x14ac:dyDescent="0.35">
      <c r="A268" s="25"/>
      <c r="B268" s="26"/>
      <c r="C268" s="26"/>
    </row>
    <row r="269" spans="1:3" x14ac:dyDescent="0.35">
      <c r="A269" s="25"/>
      <c r="B269" s="26"/>
      <c r="C269" s="26"/>
    </row>
    <row r="270" spans="1:3" x14ac:dyDescent="0.35">
      <c r="A270" s="25"/>
      <c r="B270" s="26"/>
      <c r="C270" s="26"/>
    </row>
    <row r="271" spans="1:3" x14ac:dyDescent="0.35">
      <c r="A271" s="25"/>
      <c r="B271" s="26"/>
      <c r="C271" s="26"/>
    </row>
    <row r="272" spans="1:3" x14ac:dyDescent="0.35">
      <c r="A272" s="25"/>
      <c r="B272" s="26"/>
      <c r="C272" s="26"/>
    </row>
    <row r="273" spans="1:3" x14ac:dyDescent="0.35">
      <c r="A273" s="25"/>
      <c r="B273" s="26"/>
      <c r="C273" s="26"/>
    </row>
    <row r="274" spans="1:3" x14ac:dyDescent="0.35">
      <c r="A274" s="25"/>
      <c r="B274" s="26"/>
      <c r="C274" s="26"/>
    </row>
    <row r="275" spans="1:3" x14ac:dyDescent="0.35">
      <c r="A275" s="25"/>
      <c r="B275" s="26"/>
      <c r="C275" s="26"/>
    </row>
    <row r="276" spans="1:3" x14ac:dyDescent="0.35">
      <c r="A276" s="25"/>
      <c r="B276" s="26"/>
      <c r="C276" s="26"/>
    </row>
    <row r="277" spans="1:3" x14ac:dyDescent="0.35">
      <c r="A277" s="25"/>
      <c r="B277" s="26"/>
      <c r="C277" s="26"/>
    </row>
    <row r="278" spans="1:3" x14ac:dyDescent="0.35">
      <c r="A278" s="25"/>
      <c r="B278" s="26"/>
      <c r="C278" s="26"/>
    </row>
    <row r="279" spans="1:3" x14ac:dyDescent="0.35">
      <c r="A279" s="25"/>
      <c r="B279" s="26"/>
      <c r="C279" s="26"/>
    </row>
    <row r="280" spans="1:3" x14ac:dyDescent="0.35">
      <c r="A280" s="25"/>
      <c r="B280" s="26"/>
      <c r="C280" s="26"/>
    </row>
    <row r="281" spans="1:3" x14ac:dyDescent="0.35">
      <c r="A281" s="25"/>
      <c r="B281" s="26"/>
      <c r="C281" s="26"/>
    </row>
    <row r="282" spans="1:3" x14ac:dyDescent="0.35">
      <c r="A282" s="25"/>
      <c r="B282" s="26"/>
      <c r="C282" s="26"/>
    </row>
    <row r="283" spans="1:3" x14ac:dyDescent="0.35">
      <c r="A283" s="25"/>
      <c r="B283" s="26"/>
      <c r="C283" s="26"/>
    </row>
    <row r="284" spans="1:3" x14ac:dyDescent="0.35">
      <c r="A284" s="25"/>
      <c r="B284" s="26"/>
      <c r="C284" s="26"/>
    </row>
    <row r="285" spans="1:3" x14ac:dyDescent="0.35">
      <c r="A285" s="25"/>
      <c r="B285" s="26"/>
      <c r="C285" s="26"/>
    </row>
    <row r="286" spans="1:3" x14ac:dyDescent="0.35">
      <c r="A286" s="25"/>
      <c r="B286" s="26"/>
      <c r="C286" s="26"/>
    </row>
    <row r="287" spans="1:3" x14ac:dyDescent="0.35">
      <c r="A287" s="25"/>
      <c r="B287" s="26"/>
      <c r="C287" s="26"/>
    </row>
    <row r="288" spans="1:3" x14ac:dyDescent="0.35">
      <c r="A288" s="25"/>
      <c r="B288" s="26"/>
      <c r="C288" s="26"/>
    </row>
    <row r="289" spans="1:3" x14ac:dyDescent="0.35">
      <c r="A289" s="25"/>
      <c r="B289" s="26"/>
      <c r="C289" s="26"/>
    </row>
    <row r="290" spans="1:3" x14ac:dyDescent="0.35">
      <c r="A290" s="25"/>
      <c r="B290" s="26"/>
      <c r="C290" s="26"/>
    </row>
    <row r="291" spans="1:3" x14ac:dyDescent="0.35">
      <c r="A291" s="25"/>
      <c r="B291" s="26"/>
      <c r="C291" s="26"/>
    </row>
    <row r="292" spans="1:3" x14ac:dyDescent="0.35">
      <c r="A292" s="25"/>
      <c r="B292" s="26"/>
      <c r="C292" s="26"/>
    </row>
    <row r="293" spans="1:3" x14ac:dyDescent="0.35">
      <c r="A293" s="25"/>
      <c r="B293" s="26"/>
      <c r="C293" s="26"/>
    </row>
    <row r="294" spans="1:3" x14ac:dyDescent="0.35">
      <c r="A294" s="25"/>
      <c r="B294" s="26"/>
      <c r="C294" s="26"/>
    </row>
    <row r="295" spans="1:3" x14ac:dyDescent="0.35">
      <c r="A295" s="25"/>
      <c r="B295" s="26"/>
      <c r="C295" s="26"/>
    </row>
    <row r="296" spans="1:3" x14ac:dyDescent="0.35">
      <c r="A296" s="25"/>
      <c r="B296" s="26"/>
      <c r="C296" s="26"/>
    </row>
    <row r="297" spans="1:3" x14ac:dyDescent="0.35">
      <c r="A297" s="25"/>
      <c r="B297" s="26"/>
      <c r="C297" s="26"/>
    </row>
    <row r="298" spans="1:3" x14ac:dyDescent="0.35">
      <c r="A298" s="25"/>
      <c r="B298" s="26"/>
      <c r="C298" s="26"/>
    </row>
    <row r="299" spans="1:3" x14ac:dyDescent="0.35">
      <c r="A299" s="25"/>
      <c r="B299" s="26"/>
      <c r="C299" s="26"/>
    </row>
    <row r="300" spans="1:3" x14ac:dyDescent="0.35">
      <c r="A300" s="25"/>
      <c r="B300" s="26"/>
      <c r="C300" s="26"/>
    </row>
    <row r="301" spans="1:3" x14ac:dyDescent="0.35">
      <c r="A301" s="25"/>
      <c r="B301" s="26"/>
      <c r="C301" s="26"/>
    </row>
    <row r="302" spans="1:3" x14ac:dyDescent="0.35">
      <c r="A302" s="25"/>
      <c r="B302" s="26"/>
      <c r="C302" s="26"/>
    </row>
    <row r="303" spans="1:3" x14ac:dyDescent="0.35">
      <c r="A303" s="25"/>
      <c r="B303" s="26"/>
      <c r="C303" s="26"/>
    </row>
    <row r="304" spans="1:3" x14ac:dyDescent="0.35">
      <c r="A304" s="25"/>
      <c r="B304" s="26"/>
      <c r="C304" s="26"/>
    </row>
    <row r="305" spans="1:3" x14ac:dyDescent="0.35">
      <c r="A305" s="25"/>
      <c r="B305" s="26"/>
      <c r="C305" s="26"/>
    </row>
    <row r="306" spans="1:3" x14ac:dyDescent="0.35">
      <c r="A306" s="25"/>
      <c r="B306" s="26"/>
      <c r="C306" s="26"/>
    </row>
    <row r="307" spans="1:3" x14ac:dyDescent="0.35">
      <c r="A307" s="25"/>
      <c r="B307" s="26"/>
      <c r="C307" s="26"/>
    </row>
    <row r="308" spans="1:3" x14ac:dyDescent="0.35">
      <c r="A308" s="25"/>
      <c r="B308" s="26"/>
      <c r="C308" s="26"/>
    </row>
    <row r="309" spans="1:3" x14ac:dyDescent="0.35">
      <c r="A309" s="25"/>
      <c r="B309" s="26"/>
      <c r="C309" s="26"/>
    </row>
    <row r="310" spans="1:3" x14ac:dyDescent="0.35">
      <c r="A310" s="25"/>
      <c r="B310" s="26"/>
      <c r="C310" s="26"/>
    </row>
    <row r="311" spans="1:3" x14ac:dyDescent="0.35">
      <c r="A311" s="25"/>
      <c r="B311" s="26"/>
      <c r="C311" s="26"/>
    </row>
    <row r="312" spans="1:3" x14ac:dyDescent="0.35">
      <c r="A312" s="25"/>
      <c r="B312" s="26"/>
      <c r="C312" s="26"/>
    </row>
    <row r="313" spans="1:3" x14ac:dyDescent="0.35">
      <c r="A313" s="25"/>
      <c r="B313" s="26"/>
      <c r="C313" s="26"/>
    </row>
    <row r="314" spans="1:3" x14ac:dyDescent="0.35">
      <c r="A314" s="25"/>
      <c r="B314" s="26"/>
      <c r="C314" s="26"/>
    </row>
    <row r="315" spans="1:3" x14ac:dyDescent="0.35">
      <c r="A315" s="25"/>
      <c r="B315" s="26"/>
      <c r="C315" s="26"/>
    </row>
    <row r="316" spans="1:3" x14ac:dyDescent="0.35">
      <c r="A316" s="25"/>
      <c r="B316" s="26"/>
      <c r="C316" s="26"/>
    </row>
    <row r="317" spans="1:3" x14ac:dyDescent="0.35">
      <c r="A317" s="25"/>
      <c r="B317" s="26"/>
      <c r="C317" s="26"/>
    </row>
    <row r="318" spans="1:3" x14ac:dyDescent="0.35">
      <c r="A318" s="25"/>
      <c r="B318" s="26"/>
      <c r="C318" s="26"/>
    </row>
    <row r="319" spans="1:3" x14ac:dyDescent="0.35">
      <c r="A319" s="25"/>
      <c r="B319" s="26"/>
      <c r="C319" s="26"/>
    </row>
    <row r="320" spans="1:3" x14ac:dyDescent="0.35">
      <c r="A320" s="25"/>
      <c r="B320" s="26"/>
      <c r="C320" s="26"/>
    </row>
    <row r="321" spans="1:3" x14ac:dyDescent="0.35">
      <c r="A321" s="25"/>
      <c r="B321" s="26"/>
      <c r="C321" s="26"/>
    </row>
    <row r="322" spans="1:3" x14ac:dyDescent="0.35">
      <c r="A322" s="25"/>
      <c r="B322" s="26"/>
      <c r="C322" s="26"/>
    </row>
    <row r="323" spans="1:3" x14ac:dyDescent="0.35">
      <c r="A323" s="25"/>
      <c r="B323" s="26"/>
      <c r="C323" s="26"/>
    </row>
    <row r="324" spans="1:3" x14ac:dyDescent="0.35">
      <c r="A324" s="25"/>
      <c r="B324" s="26"/>
      <c r="C324" s="26"/>
    </row>
    <row r="325" spans="1:3" x14ac:dyDescent="0.35">
      <c r="A325" s="25"/>
      <c r="B325" s="26"/>
      <c r="C325" s="26"/>
    </row>
    <row r="326" spans="1:3" x14ac:dyDescent="0.35">
      <c r="A326" s="25"/>
      <c r="B326" s="26"/>
      <c r="C326" s="26"/>
    </row>
    <row r="327" spans="1:3" x14ac:dyDescent="0.35">
      <c r="A327" s="25"/>
      <c r="B327" s="26"/>
      <c r="C327" s="26"/>
    </row>
    <row r="328" spans="1:3" x14ac:dyDescent="0.35">
      <c r="A328" s="25"/>
      <c r="B328" s="26"/>
      <c r="C328" s="26"/>
    </row>
    <row r="329" spans="1:3" x14ac:dyDescent="0.35">
      <c r="A329" s="25"/>
      <c r="B329" s="26"/>
      <c r="C329" s="26"/>
    </row>
    <row r="330" spans="1:3" x14ac:dyDescent="0.35">
      <c r="A330" s="25"/>
      <c r="B330" s="26"/>
      <c r="C330" s="26"/>
    </row>
    <row r="331" spans="1:3" x14ac:dyDescent="0.35">
      <c r="A331" s="25"/>
      <c r="B331" s="26"/>
      <c r="C331" s="26"/>
    </row>
    <row r="332" spans="1:3" x14ac:dyDescent="0.35">
      <c r="A332" s="25"/>
      <c r="B332" s="26"/>
      <c r="C332" s="26"/>
    </row>
    <row r="333" spans="1:3" x14ac:dyDescent="0.35">
      <c r="A333" s="25"/>
      <c r="B333" s="26"/>
      <c r="C333" s="26"/>
    </row>
    <row r="334" spans="1:3" x14ac:dyDescent="0.35">
      <c r="A334" s="25"/>
      <c r="B334" s="26"/>
      <c r="C334" s="26"/>
    </row>
    <row r="335" spans="1:3" x14ac:dyDescent="0.35">
      <c r="A335" s="25"/>
      <c r="B335" s="26"/>
      <c r="C335" s="26"/>
    </row>
    <row r="336" spans="1:3" x14ac:dyDescent="0.35">
      <c r="A336" s="25"/>
      <c r="B336" s="26"/>
      <c r="C336" s="26"/>
    </row>
    <row r="337" spans="1:3" x14ac:dyDescent="0.35">
      <c r="A337" s="25"/>
      <c r="B337" s="26"/>
      <c r="C337" s="26"/>
    </row>
    <row r="338" spans="1:3" x14ac:dyDescent="0.35">
      <c r="A338" s="25"/>
      <c r="B338" s="26"/>
      <c r="C338" s="26"/>
    </row>
    <row r="339" spans="1:3" x14ac:dyDescent="0.35">
      <c r="A339" s="25"/>
      <c r="B339" s="26"/>
      <c r="C339" s="26"/>
    </row>
    <row r="340" spans="1:3" x14ac:dyDescent="0.35">
      <c r="A340" s="25"/>
      <c r="B340" s="26"/>
      <c r="C340" s="26"/>
    </row>
    <row r="341" spans="1:3" x14ac:dyDescent="0.35">
      <c r="A341" s="25"/>
      <c r="B341" s="26"/>
      <c r="C341" s="26"/>
    </row>
    <row r="342" spans="1:3" x14ac:dyDescent="0.35">
      <c r="A342" s="25"/>
      <c r="B342" s="26"/>
      <c r="C342" s="26"/>
    </row>
    <row r="343" spans="1:3" x14ac:dyDescent="0.35">
      <c r="A343" s="25"/>
      <c r="B343" s="26"/>
      <c r="C343" s="26"/>
    </row>
    <row r="344" spans="1:3" x14ac:dyDescent="0.35">
      <c r="A344" s="25"/>
      <c r="B344" s="26"/>
      <c r="C344" s="26"/>
    </row>
    <row r="345" spans="1:3" x14ac:dyDescent="0.35">
      <c r="A345" s="25"/>
      <c r="B345" s="26"/>
      <c r="C345" s="26"/>
    </row>
    <row r="346" spans="1:3" x14ac:dyDescent="0.35">
      <c r="A346" s="25"/>
      <c r="B346" s="26"/>
      <c r="C346" s="26"/>
    </row>
    <row r="347" spans="1:3" x14ac:dyDescent="0.35">
      <c r="A347" s="25"/>
      <c r="B347" s="26"/>
      <c r="C347" s="26"/>
    </row>
    <row r="348" spans="1:3" x14ac:dyDescent="0.35">
      <c r="A348" s="25"/>
      <c r="B348" s="26"/>
      <c r="C348" s="26"/>
    </row>
    <row r="349" spans="1:3" x14ac:dyDescent="0.35">
      <c r="A349" s="25"/>
      <c r="B349" s="26"/>
      <c r="C349" s="26"/>
    </row>
    <row r="350" spans="1:3" x14ac:dyDescent="0.35">
      <c r="A350" s="25"/>
      <c r="B350" s="26"/>
      <c r="C350" s="26"/>
    </row>
    <row r="351" spans="1:3" x14ac:dyDescent="0.35">
      <c r="A351" s="25"/>
      <c r="B351" s="26"/>
      <c r="C351" s="26"/>
    </row>
    <row r="352" spans="1:3" x14ac:dyDescent="0.35">
      <c r="A352" s="25"/>
      <c r="B352" s="26"/>
      <c r="C352" s="26"/>
    </row>
    <row r="353" spans="1:3" x14ac:dyDescent="0.35">
      <c r="A353" s="25"/>
      <c r="B353" s="26"/>
      <c r="C353" s="26"/>
    </row>
    <row r="354" spans="1:3" x14ac:dyDescent="0.35">
      <c r="A354" s="25"/>
      <c r="B354" s="26"/>
      <c r="C354" s="26"/>
    </row>
    <row r="355" spans="1:3" x14ac:dyDescent="0.35">
      <c r="A355" s="25"/>
      <c r="B355" s="26"/>
      <c r="C355" s="26"/>
    </row>
    <row r="356" spans="1:3" x14ac:dyDescent="0.35">
      <c r="A356" s="25"/>
      <c r="B356" s="26"/>
      <c r="C356" s="26"/>
    </row>
    <row r="357" spans="1:3" x14ac:dyDescent="0.35">
      <c r="A357" s="25"/>
      <c r="B357" s="26"/>
      <c r="C357" s="26"/>
    </row>
    <row r="358" spans="1:3" x14ac:dyDescent="0.35">
      <c r="A358" s="25"/>
      <c r="B358" s="26"/>
      <c r="C358" s="26"/>
    </row>
    <row r="359" spans="1:3" x14ac:dyDescent="0.35">
      <c r="A359" s="27"/>
      <c r="B359" s="28"/>
      <c r="C359" s="28"/>
    </row>
    <row r="360" spans="1:3" x14ac:dyDescent="0.35">
      <c r="A360" s="25"/>
      <c r="B360" s="26"/>
      <c r="C360" s="26"/>
    </row>
    <row r="361" spans="1:3" x14ac:dyDescent="0.35">
      <c r="A361" s="25"/>
      <c r="B361" s="26"/>
      <c r="C361" s="26"/>
    </row>
    <row r="362" spans="1:3" x14ac:dyDescent="0.35">
      <c r="A362" s="25"/>
      <c r="B362" s="26"/>
      <c r="C362" s="26"/>
    </row>
    <row r="363" spans="1:3" x14ac:dyDescent="0.35">
      <c r="A363" s="25"/>
      <c r="B363" s="26"/>
      <c r="C363" s="26"/>
    </row>
    <row r="364" spans="1:3" x14ac:dyDescent="0.35">
      <c r="A364" s="25"/>
      <c r="B364" s="26"/>
      <c r="C364" s="26"/>
    </row>
    <row r="365" spans="1:3" x14ac:dyDescent="0.35">
      <c r="A365" s="25"/>
      <c r="B365" s="26"/>
      <c r="C365" s="26"/>
    </row>
    <row r="366" spans="1:3" x14ac:dyDescent="0.35">
      <c r="A366" s="25"/>
      <c r="B366" s="26"/>
      <c r="C366" s="26"/>
    </row>
    <row r="367" spans="1:3" x14ac:dyDescent="0.35">
      <c r="A367" s="25"/>
      <c r="B367" s="26"/>
      <c r="C367" s="26"/>
    </row>
    <row r="368" spans="1:3" x14ac:dyDescent="0.35">
      <c r="A368" s="25"/>
      <c r="B368" s="26"/>
      <c r="C368" s="26"/>
    </row>
    <row r="369" spans="1:3" x14ac:dyDescent="0.35">
      <c r="A369" s="25"/>
      <c r="B369" s="26"/>
      <c r="C369" s="26"/>
    </row>
    <row r="370" spans="1:3" x14ac:dyDescent="0.35">
      <c r="A370" s="25"/>
      <c r="B370" s="26"/>
      <c r="C370" s="26"/>
    </row>
    <row r="371" spans="1:3" x14ac:dyDescent="0.35">
      <c r="A371" s="25"/>
      <c r="B371" s="26"/>
      <c r="C371" s="26"/>
    </row>
    <row r="372" spans="1:3" x14ac:dyDescent="0.35">
      <c r="A372" s="25"/>
      <c r="B372" s="26"/>
      <c r="C372" s="26"/>
    </row>
    <row r="373" spans="1:3" x14ac:dyDescent="0.35">
      <c r="A373" s="25"/>
      <c r="B373" s="26"/>
      <c r="C373" s="26"/>
    </row>
    <row r="374" spans="1:3" x14ac:dyDescent="0.35">
      <c r="A374" s="25"/>
      <c r="B374" s="26"/>
      <c r="C374" s="26"/>
    </row>
    <row r="375" spans="1:3" x14ac:dyDescent="0.35">
      <c r="A375" s="25"/>
      <c r="B375" s="26"/>
      <c r="C375" s="26"/>
    </row>
    <row r="376" spans="1:3" x14ac:dyDescent="0.35">
      <c r="A376" s="25"/>
      <c r="B376" s="26"/>
      <c r="C376" s="26"/>
    </row>
    <row r="377" spans="1:3" x14ac:dyDescent="0.35">
      <c r="A377" s="25"/>
      <c r="B377" s="26"/>
      <c r="C377" s="26"/>
    </row>
    <row r="378" spans="1:3" x14ac:dyDescent="0.35">
      <c r="A378" s="25"/>
      <c r="B378" s="26"/>
      <c r="C378" s="26"/>
    </row>
    <row r="379" spans="1:3" x14ac:dyDescent="0.35">
      <c r="A379" s="25"/>
      <c r="B379" s="26"/>
      <c r="C379" s="26"/>
    </row>
    <row r="380" spans="1:3" x14ac:dyDescent="0.35">
      <c r="A380" s="25"/>
      <c r="B380" s="26"/>
      <c r="C380" s="26"/>
    </row>
    <row r="381" spans="1:3" x14ac:dyDescent="0.35">
      <c r="A381" s="27"/>
      <c r="B381" s="28"/>
      <c r="C381" s="28"/>
    </row>
    <row r="382" spans="1:3" x14ac:dyDescent="0.35">
      <c r="A382" s="29"/>
      <c r="B382" s="30"/>
      <c r="C382" s="30"/>
    </row>
    <row r="383" spans="1:3" x14ac:dyDescent="0.35">
      <c r="A383" s="29"/>
      <c r="B383" s="30"/>
      <c r="C383" s="30"/>
    </row>
    <row r="384" spans="1:3" x14ac:dyDescent="0.35">
      <c r="A384" s="29"/>
      <c r="B384" s="30"/>
      <c r="C384" s="30"/>
    </row>
    <row r="385" spans="1:3" x14ac:dyDescent="0.35">
      <c r="A385" s="29"/>
      <c r="B385" s="30"/>
      <c r="C385" s="30"/>
    </row>
    <row r="386" spans="1:3" x14ac:dyDescent="0.35">
      <c r="A386" s="29"/>
      <c r="B386" s="30"/>
      <c r="C386" s="30"/>
    </row>
    <row r="387" spans="1:3" x14ac:dyDescent="0.35">
      <c r="A387" s="29"/>
      <c r="B387" s="30"/>
      <c r="C387" s="30"/>
    </row>
    <row r="388" spans="1:3" x14ac:dyDescent="0.35">
      <c r="A388" s="29"/>
      <c r="B388" s="30"/>
      <c r="C388" s="30"/>
    </row>
    <row r="389" spans="1:3" x14ac:dyDescent="0.35">
      <c r="A389" s="25"/>
      <c r="B389" s="30"/>
      <c r="C389" s="30"/>
    </row>
    <row r="390" spans="1:3" x14ac:dyDescent="0.35">
      <c r="A390" s="25"/>
      <c r="B390" s="30"/>
      <c r="C390" s="30"/>
    </row>
    <row r="391" spans="1:3" x14ac:dyDescent="0.35">
      <c r="A391" s="25"/>
      <c r="B391" s="30"/>
      <c r="C391" s="30"/>
    </row>
    <row r="392" spans="1:3" x14ac:dyDescent="0.35">
      <c r="A392" s="25"/>
      <c r="B392" s="30"/>
      <c r="C392" s="30"/>
    </row>
    <row r="393" spans="1:3" x14ac:dyDescent="0.35">
      <c r="A393" s="25"/>
      <c r="B393" s="30"/>
      <c r="C393" s="30"/>
    </row>
    <row r="394" spans="1:3" x14ac:dyDescent="0.35">
      <c r="A394" s="25"/>
      <c r="B394" s="30"/>
      <c r="C394" s="30"/>
    </row>
    <row r="395" spans="1:3" x14ac:dyDescent="0.35">
      <c r="A395" s="25"/>
      <c r="B395" s="26"/>
      <c r="C395" s="26"/>
    </row>
    <row r="396" spans="1:3" x14ac:dyDescent="0.35">
      <c r="A396" s="25"/>
      <c r="B396" s="26"/>
      <c r="C396" s="26"/>
    </row>
    <row r="397" spans="1:3" x14ac:dyDescent="0.35">
      <c r="A397" s="25"/>
      <c r="B397" s="26"/>
      <c r="C397" s="26"/>
    </row>
    <row r="398" spans="1:3" x14ac:dyDescent="0.35">
      <c r="A398" s="25"/>
      <c r="B398" s="26"/>
      <c r="C398" s="26"/>
    </row>
    <row r="399" spans="1:3" x14ac:dyDescent="0.35">
      <c r="A399" s="25"/>
      <c r="B399" s="26"/>
      <c r="C399" s="26"/>
    </row>
    <row r="400" spans="1:3" x14ac:dyDescent="0.35">
      <c r="A400" s="25"/>
      <c r="B400" s="26"/>
      <c r="C400" s="26"/>
    </row>
    <row r="401" spans="1:3" x14ac:dyDescent="0.35">
      <c r="A401" s="25"/>
      <c r="B401" s="26"/>
      <c r="C401" s="26"/>
    </row>
    <row r="402" spans="1:3" x14ac:dyDescent="0.35">
      <c r="A402" s="25"/>
      <c r="B402" s="26"/>
      <c r="C402" s="26"/>
    </row>
    <row r="403" spans="1:3" x14ac:dyDescent="0.35">
      <c r="A403" s="29"/>
      <c r="B403" s="26"/>
      <c r="C403" s="26"/>
    </row>
    <row r="404" spans="1:3" x14ac:dyDescent="0.35">
      <c r="A404" s="29"/>
      <c r="B404" s="26"/>
      <c r="C404" s="26"/>
    </row>
    <row r="405" spans="1:3" x14ac:dyDescent="0.35">
      <c r="A405" s="29"/>
      <c r="B405" s="30"/>
      <c r="C405" s="30"/>
    </row>
    <row r="406" spans="1:3" x14ac:dyDescent="0.35">
      <c r="A406" s="29"/>
      <c r="B406" s="30"/>
      <c r="C406" s="30"/>
    </row>
    <row r="407" spans="1:3" x14ac:dyDescent="0.35">
      <c r="A407" s="29"/>
      <c r="B407" s="30"/>
      <c r="C407" s="30"/>
    </row>
    <row r="408" spans="1:3" x14ac:dyDescent="0.35">
      <c r="A408" s="29"/>
      <c r="B408" s="30"/>
      <c r="C408" s="30"/>
    </row>
    <row r="409" spans="1:3" x14ac:dyDescent="0.35">
      <c r="A409" s="29"/>
      <c r="B409" s="30"/>
      <c r="C409" s="30"/>
    </row>
    <row r="410" spans="1:3" x14ac:dyDescent="0.35">
      <c r="A410" s="29"/>
      <c r="B410" s="30"/>
      <c r="C410" s="30"/>
    </row>
    <row r="411" spans="1:3" x14ac:dyDescent="0.35">
      <c r="A411" s="29"/>
      <c r="B411" s="30"/>
      <c r="C411" s="30"/>
    </row>
    <row r="412" spans="1:3" x14ac:dyDescent="0.35">
      <c r="A412" s="29"/>
      <c r="B412" s="30"/>
      <c r="C412" s="30"/>
    </row>
    <row r="413" spans="1:3" x14ac:dyDescent="0.35">
      <c r="A413" s="29"/>
      <c r="B413" s="30"/>
      <c r="C413" s="30"/>
    </row>
    <row r="414" spans="1:3" x14ac:dyDescent="0.35">
      <c r="A414" s="29"/>
      <c r="B414" s="30"/>
      <c r="C414" s="30"/>
    </row>
    <row r="415" spans="1:3" x14ac:dyDescent="0.35">
      <c r="A415" s="29"/>
      <c r="B415" s="30"/>
      <c r="C415" s="30"/>
    </row>
    <row r="416" spans="1:3" x14ac:dyDescent="0.35">
      <c r="A416" s="29"/>
      <c r="B416" s="30"/>
      <c r="C416" s="30"/>
    </row>
    <row r="417" spans="1:3" x14ac:dyDescent="0.35">
      <c r="A417" s="29"/>
      <c r="B417" s="30"/>
      <c r="C417" s="30"/>
    </row>
    <row r="418" spans="1:3" x14ac:dyDescent="0.35">
      <c r="A418" s="29"/>
      <c r="B418" s="30"/>
      <c r="C418" s="30"/>
    </row>
    <row r="419" spans="1:3" x14ac:dyDescent="0.35">
      <c r="A419" s="29"/>
      <c r="B419" s="30"/>
      <c r="C419" s="30"/>
    </row>
    <row r="420" spans="1:3" x14ac:dyDescent="0.35">
      <c r="A420" s="29"/>
      <c r="B420" s="30"/>
      <c r="C420" s="30"/>
    </row>
    <row r="421" spans="1:3" x14ac:dyDescent="0.35">
      <c r="A421" s="29"/>
      <c r="B421" s="30"/>
      <c r="C421" s="30"/>
    </row>
    <row r="422" spans="1:3" x14ac:dyDescent="0.35">
      <c r="A422" s="29"/>
      <c r="B422" s="30"/>
      <c r="C422" s="30"/>
    </row>
    <row r="423" spans="1:3" x14ac:dyDescent="0.35">
      <c r="A423" s="29"/>
      <c r="B423" s="30"/>
      <c r="C423" s="30"/>
    </row>
    <row r="424" spans="1:3" x14ac:dyDescent="0.35">
      <c r="A424" s="29"/>
      <c r="B424" s="30"/>
      <c r="C424" s="30"/>
    </row>
    <row r="425" spans="1:3" x14ac:dyDescent="0.35">
      <c r="A425" s="29"/>
      <c r="B425" s="30"/>
      <c r="C425" s="30"/>
    </row>
    <row r="426" spans="1:3" x14ac:dyDescent="0.35">
      <c r="A426" s="29"/>
      <c r="B426" s="30"/>
      <c r="C426" s="30"/>
    </row>
    <row r="427" spans="1:3" x14ac:dyDescent="0.35">
      <c r="A427" s="29"/>
      <c r="B427" s="30"/>
      <c r="C427" s="30"/>
    </row>
    <row r="428" spans="1:3" x14ac:dyDescent="0.35">
      <c r="A428" s="29"/>
      <c r="B428" s="30"/>
      <c r="C428" s="30"/>
    </row>
    <row r="429" spans="1:3" x14ac:dyDescent="0.35">
      <c r="A429" s="29"/>
      <c r="B429" s="30"/>
      <c r="C429" s="30"/>
    </row>
    <row r="430" spans="1:3" x14ac:dyDescent="0.35">
      <c r="A430" s="29"/>
      <c r="B430" s="30"/>
      <c r="C430" s="30"/>
    </row>
    <row r="431" spans="1:3" x14ac:dyDescent="0.35">
      <c r="A431" s="29"/>
      <c r="B431" s="30"/>
      <c r="C431" s="30"/>
    </row>
    <row r="432" spans="1:3" x14ac:dyDescent="0.35">
      <c r="A432" s="29"/>
      <c r="B432" s="30"/>
      <c r="C432" s="30"/>
    </row>
    <row r="433" spans="1:3" x14ac:dyDescent="0.35">
      <c r="A433" s="29"/>
      <c r="B433" s="30"/>
      <c r="C433" s="30"/>
    </row>
    <row r="434" spans="1:3" x14ac:dyDescent="0.35">
      <c r="A434" s="29"/>
      <c r="B434" s="30"/>
      <c r="C434" s="30"/>
    </row>
    <row r="435" spans="1:3" x14ac:dyDescent="0.35">
      <c r="A435" s="29"/>
      <c r="B435" s="30"/>
      <c r="C435" s="30"/>
    </row>
    <row r="436" spans="1:3" x14ac:dyDescent="0.35">
      <c r="A436" s="29"/>
      <c r="B436" s="30"/>
      <c r="C436" s="30"/>
    </row>
    <row r="437" spans="1:3" x14ac:dyDescent="0.35">
      <c r="A437" s="29"/>
      <c r="B437" s="30"/>
      <c r="C437" s="30"/>
    </row>
    <row r="438" spans="1:3" x14ac:dyDescent="0.35">
      <c r="A438" s="29"/>
      <c r="B438" s="30"/>
      <c r="C438" s="30"/>
    </row>
    <row r="439" spans="1:3" x14ac:dyDescent="0.35">
      <c r="A439" s="29"/>
      <c r="B439" s="30"/>
      <c r="C439" s="30"/>
    </row>
    <row r="440" spans="1:3" x14ac:dyDescent="0.35">
      <c r="A440" s="29"/>
      <c r="B440" s="30"/>
      <c r="C440" s="30"/>
    </row>
    <row r="441" spans="1:3" x14ac:dyDescent="0.35">
      <c r="A441" s="29"/>
      <c r="B441" s="30"/>
      <c r="C441" s="30"/>
    </row>
    <row r="442" spans="1:3" x14ac:dyDescent="0.35">
      <c r="A442" s="29"/>
      <c r="B442" s="30"/>
      <c r="C442" s="30"/>
    </row>
    <row r="443" spans="1:3" x14ac:dyDescent="0.35">
      <c r="A443" s="29"/>
      <c r="B443" s="30"/>
      <c r="C443" s="30"/>
    </row>
    <row r="444" spans="1:3" x14ac:dyDescent="0.35">
      <c r="A444" s="29"/>
      <c r="B444" s="30"/>
      <c r="C444" s="30"/>
    </row>
    <row r="445" spans="1:3" x14ac:dyDescent="0.35">
      <c r="A445" s="29"/>
      <c r="B445" s="30"/>
      <c r="C445" s="30"/>
    </row>
    <row r="446" spans="1:3" x14ac:dyDescent="0.35">
      <c r="A446" s="29"/>
      <c r="B446" s="30"/>
      <c r="C446" s="30"/>
    </row>
    <row r="447" spans="1:3" x14ac:dyDescent="0.35">
      <c r="A447" s="29"/>
      <c r="B447" s="30"/>
      <c r="C447" s="30"/>
    </row>
    <row r="448" spans="1:3" x14ac:dyDescent="0.35">
      <c r="A448" s="29"/>
      <c r="B448" s="30"/>
      <c r="C448" s="30"/>
    </row>
    <row r="449" spans="1:3" x14ac:dyDescent="0.35">
      <c r="A449" s="29"/>
      <c r="B449" s="30"/>
      <c r="C449" s="30"/>
    </row>
    <row r="450" spans="1:3" x14ac:dyDescent="0.35">
      <c r="A450" s="29"/>
      <c r="B450" s="30"/>
      <c r="C450" s="30"/>
    </row>
    <row r="451" spans="1:3" x14ac:dyDescent="0.35">
      <c r="A451" s="29"/>
      <c r="B451" s="30"/>
      <c r="C451" s="30"/>
    </row>
    <row r="452" spans="1:3" x14ac:dyDescent="0.35">
      <c r="A452" s="29"/>
      <c r="B452" s="30"/>
      <c r="C452" s="30"/>
    </row>
    <row r="453" spans="1:3" x14ac:dyDescent="0.35">
      <c r="A453" s="29"/>
      <c r="B453" s="30"/>
      <c r="C453" s="30"/>
    </row>
    <row r="454" spans="1:3" x14ac:dyDescent="0.35">
      <c r="A454" s="29"/>
      <c r="B454" s="30"/>
      <c r="C454" s="30"/>
    </row>
    <row r="455" spans="1:3" x14ac:dyDescent="0.35">
      <c r="A455" s="29"/>
      <c r="B455" s="30"/>
      <c r="C455" s="30"/>
    </row>
    <row r="456" spans="1:3" x14ac:dyDescent="0.35">
      <c r="A456" s="29"/>
      <c r="B456" s="30"/>
      <c r="C456" s="30"/>
    </row>
    <row r="457" spans="1:3" x14ac:dyDescent="0.35">
      <c r="A457" s="29"/>
      <c r="B457" s="30"/>
      <c r="C457" s="30"/>
    </row>
    <row r="458" spans="1:3" x14ac:dyDescent="0.35">
      <c r="A458" s="29"/>
      <c r="B458" s="30"/>
      <c r="C458" s="30"/>
    </row>
    <row r="459" spans="1:3" x14ac:dyDescent="0.35">
      <c r="A459" s="29"/>
      <c r="B459" s="30"/>
      <c r="C459" s="30"/>
    </row>
    <row r="460" spans="1:3" x14ac:dyDescent="0.35">
      <c r="A460" s="29"/>
      <c r="B460" s="30"/>
      <c r="C460" s="30"/>
    </row>
    <row r="461" spans="1:3" x14ac:dyDescent="0.35">
      <c r="A461" s="29"/>
      <c r="B461" s="30"/>
      <c r="C461" s="30"/>
    </row>
    <row r="462" spans="1:3" x14ac:dyDescent="0.35">
      <c r="A462" s="29"/>
      <c r="B462" s="30"/>
      <c r="C462" s="30"/>
    </row>
    <row r="463" spans="1:3" x14ac:dyDescent="0.35">
      <c r="A463" s="29"/>
      <c r="B463" s="30"/>
      <c r="C463" s="30"/>
    </row>
    <row r="464" spans="1:3" x14ac:dyDescent="0.35">
      <c r="A464" s="29"/>
      <c r="B464" s="30"/>
      <c r="C464" s="30"/>
    </row>
    <row r="465" spans="1:3" x14ac:dyDescent="0.35">
      <c r="A465" s="29"/>
      <c r="B465" s="30"/>
      <c r="C465" s="30"/>
    </row>
    <row r="466" spans="1:3" x14ac:dyDescent="0.35">
      <c r="A466" s="29"/>
      <c r="B466" s="30"/>
      <c r="C466" s="30"/>
    </row>
    <row r="467" spans="1:3" x14ac:dyDescent="0.35">
      <c r="A467" s="29"/>
      <c r="B467" s="30"/>
      <c r="C467" s="30"/>
    </row>
    <row r="468" spans="1:3" x14ac:dyDescent="0.35">
      <c r="A468" s="29"/>
      <c r="B468" s="30"/>
      <c r="C468" s="30"/>
    </row>
    <row r="469" spans="1:3" x14ac:dyDescent="0.35">
      <c r="A469" s="29"/>
      <c r="B469" s="30"/>
      <c r="C469" s="30"/>
    </row>
    <row r="470" spans="1:3" x14ac:dyDescent="0.35">
      <c r="A470" s="29"/>
      <c r="B470" s="30"/>
      <c r="C470" s="30"/>
    </row>
    <row r="471" spans="1:3" x14ac:dyDescent="0.35">
      <c r="A471" s="29"/>
      <c r="B471" s="30"/>
      <c r="C471" s="30"/>
    </row>
    <row r="472" spans="1:3" x14ac:dyDescent="0.35">
      <c r="A472" s="29"/>
      <c r="B472" s="30"/>
      <c r="C472" s="30"/>
    </row>
    <row r="473" spans="1:3" x14ac:dyDescent="0.35">
      <c r="A473" s="29"/>
      <c r="B473" s="30"/>
      <c r="C473" s="30"/>
    </row>
    <row r="474" spans="1:3" x14ac:dyDescent="0.35">
      <c r="A474" s="29"/>
      <c r="B474" s="30"/>
      <c r="C474" s="30"/>
    </row>
    <row r="475" spans="1:3" x14ac:dyDescent="0.35">
      <c r="A475" s="29"/>
      <c r="B475" s="30"/>
      <c r="C475" s="30"/>
    </row>
    <row r="476" spans="1:3" x14ac:dyDescent="0.35">
      <c r="A476" s="29"/>
      <c r="B476" s="30"/>
      <c r="C476" s="30"/>
    </row>
    <row r="477" spans="1:3" x14ac:dyDescent="0.35">
      <c r="A477" s="29"/>
      <c r="B477" s="30"/>
      <c r="C477" s="30"/>
    </row>
    <row r="478" spans="1:3" x14ac:dyDescent="0.35">
      <c r="A478" s="29"/>
      <c r="B478" s="30"/>
      <c r="C478" s="30"/>
    </row>
    <row r="479" spans="1:3" x14ac:dyDescent="0.35">
      <c r="A479" s="29"/>
      <c r="B479" s="30"/>
      <c r="C479" s="30"/>
    </row>
    <row r="480" spans="1:3" x14ac:dyDescent="0.35">
      <c r="A480" s="29"/>
      <c r="B480" s="30"/>
      <c r="C480" s="30"/>
    </row>
    <row r="481" spans="1:3" x14ac:dyDescent="0.35">
      <c r="A481" s="29"/>
      <c r="B481" s="30"/>
      <c r="C481" s="30"/>
    </row>
    <row r="482" spans="1:3" x14ac:dyDescent="0.35">
      <c r="A482" s="29"/>
      <c r="B482" s="30"/>
      <c r="C482" s="30"/>
    </row>
    <row r="483" spans="1:3" x14ac:dyDescent="0.35">
      <c r="A483" s="29"/>
      <c r="B483" s="30"/>
      <c r="C483" s="30"/>
    </row>
    <row r="484" spans="1:3" x14ac:dyDescent="0.35">
      <c r="A484" s="29"/>
      <c r="B484" s="30"/>
      <c r="C484" s="30"/>
    </row>
    <row r="485" spans="1:3" x14ac:dyDescent="0.35">
      <c r="A485" s="29"/>
      <c r="B485" s="30"/>
      <c r="C485" s="30"/>
    </row>
    <row r="486" spans="1:3" x14ac:dyDescent="0.35">
      <c r="A486" s="29"/>
      <c r="B486" s="30"/>
      <c r="C486" s="30"/>
    </row>
    <row r="487" spans="1:3" x14ac:dyDescent="0.35">
      <c r="A487" s="29"/>
      <c r="B487" s="30"/>
      <c r="C487" s="30"/>
    </row>
    <row r="488" spans="1:3" x14ac:dyDescent="0.35">
      <c r="A488" s="29"/>
      <c r="B488" s="30"/>
      <c r="C488" s="30"/>
    </row>
    <row r="489" spans="1:3" x14ac:dyDescent="0.35">
      <c r="A489" s="29"/>
      <c r="B489" s="30"/>
      <c r="C489" s="30"/>
    </row>
    <row r="490" spans="1:3" x14ac:dyDescent="0.35">
      <c r="A490" s="29"/>
      <c r="B490" s="30"/>
      <c r="C490" s="30"/>
    </row>
    <row r="491" spans="1:3" x14ac:dyDescent="0.35">
      <c r="A491" s="29"/>
      <c r="B491" s="30"/>
      <c r="C491" s="30"/>
    </row>
    <row r="492" spans="1:3" x14ac:dyDescent="0.35">
      <c r="A492" s="29"/>
      <c r="B492" s="30"/>
      <c r="C492" s="30"/>
    </row>
    <row r="493" spans="1:3" x14ac:dyDescent="0.35">
      <c r="A493" s="29"/>
      <c r="B493" s="30"/>
      <c r="C493" s="30"/>
    </row>
    <row r="494" spans="1:3" x14ac:dyDescent="0.35">
      <c r="A494" s="29"/>
      <c r="B494" s="30"/>
      <c r="C494" s="30"/>
    </row>
  </sheetData>
  <conditionalFormatting sqref="G1:G1048576">
    <cfRule type="cellIs" dxfId="3" priority="1" operator="equal">
      <formula>$G$10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48"/>
  <sheetViews>
    <sheetView topLeftCell="D1" zoomScale="43" zoomScaleNormal="103" workbookViewId="0">
      <selection activeCell="N43" sqref="N43"/>
    </sheetView>
  </sheetViews>
  <sheetFormatPr defaultColWidth="29.08984375" defaultRowHeight="14.5" x14ac:dyDescent="0.35"/>
  <sheetData>
    <row r="1" spans="1:8" s="14" customFormat="1" ht="30" customHeight="1" x14ac:dyDescent="0.35">
      <c r="A1" s="4" t="s">
        <v>21</v>
      </c>
      <c r="B1" s="3" t="s">
        <v>1</v>
      </c>
      <c r="C1" s="3" t="s">
        <v>2</v>
      </c>
      <c r="D1" s="3" t="s">
        <v>3</v>
      </c>
      <c r="E1" s="3" t="s">
        <v>53</v>
      </c>
      <c r="F1" s="3" t="s">
        <v>54</v>
      </c>
      <c r="G1" s="3" t="s">
        <v>6</v>
      </c>
    </row>
    <row r="2" spans="1:8" s="15" customFormat="1" x14ac:dyDescent="0.35">
      <c r="A2" s="21">
        <v>46029</v>
      </c>
      <c r="B2">
        <v>2</v>
      </c>
      <c r="C2">
        <v>0</v>
      </c>
      <c r="D2" s="15">
        <f t="shared" ref="D2:D33" si="0">C2/B2</f>
        <v>0</v>
      </c>
      <c r="E2" s="15">
        <f t="shared" ref="E2:E33" si="1">$D$148+3*SQRT($D$148*(1-$D$148)/B2)</f>
        <v>0.12517725973230426</v>
      </c>
      <c r="F2" s="15">
        <f t="shared" ref="F2:F33" si="2">MAX(0,$D$148-3*SQRT($D$148*(1-$D$148)/B2))</f>
        <v>0</v>
      </c>
      <c r="G2" s="15" t="str">
        <f t="shared" ref="G2:G33" si="3">IF(AND(D2&lt;=E2,D2&gt;=F2),"KONTROL İÇİNDE"," KONTROL DIŞINDA")</f>
        <v>KONTROL İÇİNDE</v>
      </c>
    </row>
    <row r="3" spans="1:8" s="15" customFormat="1" x14ac:dyDescent="0.35">
      <c r="A3" s="21">
        <v>46030</v>
      </c>
      <c r="B3">
        <v>34</v>
      </c>
      <c r="C3">
        <v>0</v>
      </c>
      <c r="D3" s="15">
        <f t="shared" si="0"/>
        <v>0</v>
      </c>
      <c r="E3" s="15">
        <f t="shared" si="1"/>
        <v>3.2868105111508714E-2</v>
      </c>
      <c r="F3" s="15">
        <f t="shared" si="2"/>
        <v>0</v>
      </c>
      <c r="G3" s="15" t="str">
        <f t="shared" si="3"/>
        <v>KONTROL İÇİNDE</v>
      </c>
    </row>
    <row r="4" spans="1:8" s="15" customFormat="1" x14ac:dyDescent="0.35">
      <c r="A4" s="21">
        <v>46031</v>
      </c>
      <c r="B4">
        <v>1</v>
      </c>
      <c r="C4">
        <v>0</v>
      </c>
      <c r="D4" s="15">
        <f t="shared" si="0"/>
        <v>0</v>
      </c>
      <c r="E4" s="15">
        <f t="shared" si="1"/>
        <v>0.17565581032679606</v>
      </c>
      <c r="F4" s="15">
        <f t="shared" si="2"/>
        <v>0</v>
      </c>
      <c r="G4" s="15" t="str">
        <f t="shared" si="3"/>
        <v>KONTROL İÇİNDE</v>
      </c>
    </row>
    <row r="5" spans="1:8" s="15" customFormat="1" x14ac:dyDescent="0.35">
      <c r="A5" s="21">
        <v>46035</v>
      </c>
      <c r="B5">
        <v>81</v>
      </c>
      <c r="C5">
        <v>0</v>
      </c>
      <c r="D5" s="15">
        <f t="shared" si="0"/>
        <v>0</v>
      </c>
      <c r="E5" s="15">
        <f t="shared" si="1"/>
        <v>2.2460652950217961E-2</v>
      </c>
      <c r="F5" s="15">
        <f t="shared" si="2"/>
        <v>0</v>
      </c>
      <c r="G5" s="15" t="str">
        <f t="shared" si="3"/>
        <v>KONTROL İÇİNDE</v>
      </c>
    </row>
    <row r="6" spans="1:8" s="15" customFormat="1" x14ac:dyDescent="0.35">
      <c r="A6" s="21">
        <v>46037</v>
      </c>
      <c r="B6">
        <v>6</v>
      </c>
      <c r="C6">
        <v>0</v>
      </c>
      <c r="D6" s="15">
        <f t="shared" si="0"/>
        <v>0</v>
      </c>
      <c r="E6" s="15">
        <f t="shared" si="1"/>
        <v>7.3670627022767485E-2</v>
      </c>
      <c r="F6" s="15">
        <f t="shared" si="2"/>
        <v>0</v>
      </c>
      <c r="G6" s="15" t="str">
        <f t="shared" si="3"/>
        <v>KONTROL İÇİNDE</v>
      </c>
    </row>
    <row r="7" spans="1:8" s="15" customFormat="1" x14ac:dyDescent="0.35">
      <c r="A7" s="21">
        <v>46038</v>
      </c>
      <c r="B7">
        <v>2</v>
      </c>
      <c r="C7">
        <v>0</v>
      </c>
      <c r="D7" s="15">
        <f t="shared" si="0"/>
        <v>0</v>
      </c>
      <c r="E7" s="15">
        <f t="shared" si="1"/>
        <v>0.12517725973230426</v>
      </c>
      <c r="F7" s="15">
        <f t="shared" si="2"/>
        <v>0</v>
      </c>
      <c r="G7" s="15" t="str">
        <f t="shared" si="3"/>
        <v>KONTROL İÇİNDE</v>
      </c>
    </row>
    <row r="8" spans="1:8" x14ac:dyDescent="0.35">
      <c r="A8" s="21">
        <v>46041</v>
      </c>
      <c r="B8">
        <v>12</v>
      </c>
      <c r="C8">
        <v>0</v>
      </c>
      <c r="D8" s="15">
        <f t="shared" si="0"/>
        <v>0</v>
      </c>
      <c r="E8" s="15">
        <f t="shared" si="1"/>
        <v>5.3062845037472585E-2</v>
      </c>
      <c r="F8" s="15">
        <f t="shared" si="2"/>
        <v>0</v>
      </c>
      <c r="G8" s="15" t="str">
        <f t="shared" si="3"/>
        <v>KONTROL İÇİNDE</v>
      </c>
    </row>
    <row r="9" spans="1:8" x14ac:dyDescent="0.35">
      <c r="A9" s="21">
        <v>46043</v>
      </c>
      <c r="B9">
        <v>316</v>
      </c>
      <c r="C9">
        <v>0</v>
      </c>
      <c r="D9" s="15">
        <f t="shared" si="0"/>
        <v>0</v>
      </c>
      <c r="E9" s="15">
        <f t="shared" si="1"/>
        <v>1.3006396793168291E-2</v>
      </c>
      <c r="F9" s="15">
        <f t="shared" si="2"/>
        <v>0</v>
      </c>
      <c r="G9" s="15" t="str">
        <f t="shared" si="3"/>
        <v>KONTROL İÇİNDE</v>
      </c>
    </row>
    <row r="10" spans="1:8" x14ac:dyDescent="0.35">
      <c r="A10" s="21">
        <v>46045</v>
      </c>
      <c r="B10">
        <v>9</v>
      </c>
      <c r="C10">
        <v>1</v>
      </c>
      <c r="D10" s="15">
        <f t="shared" si="0"/>
        <v>0.1111111111111111</v>
      </c>
      <c r="E10" s="15">
        <f t="shared" si="1"/>
        <v>6.0759442294362496E-2</v>
      </c>
      <c r="F10" s="15">
        <f t="shared" si="2"/>
        <v>0</v>
      </c>
      <c r="G10" s="15" t="str">
        <f t="shared" si="3"/>
        <v xml:space="preserve"> KONTROL DIŞINDA</v>
      </c>
    </row>
    <row r="11" spans="1:8" x14ac:dyDescent="0.35">
      <c r="A11" s="21">
        <v>46048</v>
      </c>
      <c r="B11">
        <v>8</v>
      </c>
      <c r="C11">
        <v>1</v>
      </c>
      <c r="D11" s="15">
        <f t="shared" si="0"/>
        <v>0.125</v>
      </c>
      <c r="E11" s="15">
        <f t="shared" si="1"/>
        <v>6.4244259005224985E-2</v>
      </c>
      <c r="F11" s="15">
        <f t="shared" si="2"/>
        <v>0</v>
      </c>
      <c r="G11" s="15" t="str">
        <f t="shared" si="3"/>
        <v xml:space="preserve"> KONTROL DIŞINDA</v>
      </c>
      <c r="H11" s="5" t="s">
        <v>60</v>
      </c>
    </row>
    <row r="12" spans="1:8" x14ac:dyDescent="0.35">
      <c r="A12" s="21">
        <v>46050</v>
      </c>
      <c r="B12">
        <v>205</v>
      </c>
      <c r="C12">
        <v>0</v>
      </c>
      <c r="D12" s="15">
        <f t="shared" si="0"/>
        <v>0</v>
      </c>
      <c r="E12" s="15">
        <f t="shared" si="1"/>
        <v>1.5348323924307131E-2</v>
      </c>
      <c r="F12" s="15">
        <f t="shared" si="2"/>
        <v>0</v>
      </c>
      <c r="G12" s="15" t="str">
        <f t="shared" si="3"/>
        <v>KONTROL İÇİNDE</v>
      </c>
    </row>
    <row r="13" spans="1:8" x14ac:dyDescent="0.35">
      <c r="A13" s="21">
        <v>46052</v>
      </c>
      <c r="B13">
        <v>7</v>
      </c>
      <c r="C13">
        <v>1</v>
      </c>
      <c r="D13" s="15">
        <f t="shared" si="0"/>
        <v>0.14285714285714285</v>
      </c>
      <c r="E13" s="15">
        <f t="shared" si="1"/>
        <v>6.8451376069225175E-2</v>
      </c>
      <c r="F13" s="15">
        <f t="shared" si="2"/>
        <v>0</v>
      </c>
      <c r="G13" s="15" t="str">
        <f t="shared" si="3"/>
        <v xml:space="preserve"> KONTROL DIŞINDA</v>
      </c>
      <c r="H13" s="5" t="s">
        <v>61</v>
      </c>
    </row>
    <row r="14" spans="1:8" x14ac:dyDescent="0.35">
      <c r="A14" s="21">
        <v>46055</v>
      </c>
      <c r="B14">
        <v>2</v>
      </c>
      <c r="C14">
        <v>0</v>
      </c>
      <c r="D14" s="15">
        <f t="shared" si="0"/>
        <v>0</v>
      </c>
      <c r="E14" s="15">
        <f t="shared" si="1"/>
        <v>0.12517725973230426</v>
      </c>
      <c r="F14" s="15">
        <f t="shared" si="2"/>
        <v>0</v>
      </c>
      <c r="G14" s="15" t="str">
        <f t="shared" si="3"/>
        <v>KONTROL İÇİNDE</v>
      </c>
    </row>
    <row r="15" spans="1:8" x14ac:dyDescent="0.35">
      <c r="A15" s="21">
        <v>46056</v>
      </c>
      <c r="B15">
        <v>1</v>
      </c>
      <c r="C15">
        <v>0</v>
      </c>
      <c r="D15" s="15">
        <f t="shared" si="0"/>
        <v>0</v>
      </c>
      <c r="E15" s="15">
        <f t="shared" si="1"/>
        <v>0.17565581032679606</v>
      </c>
      <c r="F15" s="15">
        <f t="shared" si="2"/>
        <v>0</v>
      </c>
      <c r="G15" s="15" t="str">
        <f t="shared" si="3"/>
        <v>KONTROL İÇİNDE</v>
      </c>
    </row>
    <row r="16" spans="1:8" x14ac:dyDescent="0.35">
      <c r="A16" s="21">
        <v>46057</v>
      </c>
      <c r="B16">
        <v>7</v>
      </c>
      <c r="C16">
        <v>0</v>
      </c>
      <c r="D16" s="15">
        <f t="shared" si="0"/>
        <v>0</v>
      </c>
      <c r="E16" s="15">
        <f t="shared" si="1"/>
        <v>6.8451376069225175E-2</v>
      </c>
      <c r="F16" s="15">
        <f t="shared" si="2"/>
        <v>0</v>
      </c>
      <c r="G16" s="15" t="str">
        <f t="shared" si="3"/>
        <v>KONTROL İÇİNDE</v>
      </c>
    </row>
    <row r="17" spans="1:8" x14ac:dyDescent="0.35">
      <c r="A17" s="21">
        <v>46058</v>
      </c>
      <c r="B17">
        <v>6</v>
      </c>
      <c r="C17">
        <v>0</v>
      </c>
      <c r="D17" s="15">
        <f t="shared" si="0"/>
        <v>0</v>
      </c>
      <c r="E17" s="15">
        <f t="shared" si="1"/>
        <v>7.3670627022767485E-2</v>
      </c>
      <c r="F17" s="15">
        <f t="shared" si="2"/>
        <v>0</v>
      </c>
      <c r="G17" s="15" t="str">
        <f t="shared" si="3"/>
        <v>KONTROL İÇİNDE</v>
      </c>
    </row>
    <row r="18" spans="1:8" x14ac:dyDescent="0.35">
      <c r="A18" s="21">
        <v>46059</v>
      </c>
      <c r="B18">
        <v>25</v>
      </c>
      <c r="C18">
        <v>3</v>
      </c>
      <c r="D18" s="15">
        <f t="shared" si="0"/>
        <v>0.12</v>
      </c>
      <c r="E18" s="15">
        <f t="shared" si="1"/>
        <v>3.778016868787578E-2</v>
      </c>
      <c r="F18" s="15">
        <f t="shared" si="2"/>
        <v>0</v>
      </c>
      <c r="G18" s="15" t="str">
        <f t="shared" si="3"/>
        <v xml:space="preserve"> KONTROL DIŞINDA</v>
      </c>
      <c r="H18" s="5" t="s">
        <v>62</v>
      </c>
    </row>
    <row r="19" spans="1:8" x14ac:dyDescent="0.35">
      <c r="A19" s="21">
        <v>46062</v>
      </c>
      <c r="B19">
        <v>25</v>
      </c>
      <c r="C19">
        <v>0</v>
      </c>
      <c r="D19" s="15">
        <f t="shared" si="0"/>
        <v>0</v>
      </c>
      <c r="E19" s="15">
        <f t="shared" si="1"/>
        <v>3.778016868787578E-2</v>
      </c>
      <c r="F19" s="15">
        <f t="shared" si="2"/>
        <v>0</v>
      </c>
      <c r="G19" s="15" t="str">
        <f t="shared" si="3"/>
        <v>KONTROL İÇİNDE</v>
      </c>
    </row>
    <row r="20" spans="1:8" x14ac:dyDescent="0.35">
      <c r="A20" s="21">
        <v>46063</v>
      </c>
      <c r="B20">
        <v>24</v>
      </c>
      <c r="C20">
        <v>3</v>
      </c>
      <c r="D20" s="15">
        <f t="shared" si="0"/>
        <v>0.125</v>
      </c>
      <c r="E20" s="15">
        <f t="shared" si="1"/>
        <v>3.8490942650456592E-2</v>
      </c>
      <c r="F20" s="15">
        <f t="shared" si="2"/>
        <v>0</v>
      </c>
      <c r="G20" s="15" t="str">
        <f t="shared" si="3"/>
        <v xml:space="preserve"> KONTROL DIŞINDA</v>
      </c>
      <c r="H20" s="5" t="s">
        <v>62</v>
      </c>
    </row>
    <row r="21" spans="1:8" x14ac:dyDescent="0.35">
      <c r="A21" s="21">
        <v>46064</v>
      </c>
      <c r="B21">
        <v>2</v>
      </c>
      <c r="C21">
        <v>0</v>
      </c>
      <c r="D21" s="15">
        <f t="shared" si="0"/>
        <v>0</v>
      </c>
      <c r="E21" s="15">
        <f t="shared" si="1"/>
        <v>0.12517725973230426</v>
      </c>
      <c r="F21" s="15">
        <f t="shared" si="2"/>
        <v>0</v>
      </c>
      <c r="G21" s="15" t="str">
        <f t="shared" si="3"/>
        <v>KONTROL İÇİNDE</v>
      </c>
    </row>
    <row r="22" spans="1:8" x14ac:dyDescent="0.35">
      <c r="A22" s="21">
        <v>46065</v>
      </c>
      <c r="B22">
        <v>86</v>
      </c>
      <c r="C22">
        <v>0</v>
      </c>
      <c r="D22" s="15">
        <f t="shared" si="0"/>
        <v>0</v>
      </c>
      <c r="E22" s="15">
        <f t="shared" si="1"/>
        <v>2.1895649272055999E-2</v>
      </c>
      <c r="F22" s="15">
        <f t="shared" si="2"/>
        <v>0</v>
      </c>
      <c r="G22" s="15" t="str">
        <f t="shared" si="3"/>
        <v>KONTROL İÇİNDE</v>
      </c>
    </row>
    <row r="23" spans="1:8" x14ac:dyDescent="0.35">
      <c r="A23" s="21">
        <v>46066</v>
      </c>
      <c r="B23">
        <v>16</v>
      </c>
      <c r="C23">
        <v>0</v>
      </c>
      <c r="D23" s="15">
        <f t="shared" si="0"/>
        <v>0</v>
      </c>
      <c r="E23" s="15">
        <f t="shared" si="1"/>
        <v>4.6397396290308292E-2</v>
      </c>
      <c r="F23" s="15">
        <f t="shared" si="2"/>
        <v>0</v>
      </c>
      <c r="G23" s="15" t="str">
        <f t="shared" si="3"/>
        <v>KONTROL İÇİNDE</v>
      </c>
    </row>
    <row r="24" spans="1:8" x14ac:dyDescent="0.35">
      <c r="A24" s="21">
        <v>46069</v>
      </c>
      <c r="B24">
        <v>7</v>
      </c>
      <c r="C24">
        <v>0</v>
      </c>
      <c r="D24" s="15">
        <f t="shared" si="0"/>
        <v>0</v>
      </c>
      <c r="E24" s="15">
        <f t="shared" si="1"/>
        <v>6.8451376069225175E-2</v>
      </c>
      <c r="F24" s="15">
        <f t="shared" si="2"/>
        <v>0</v>
      </c>
      <c r="G24" s="15" t="str">
        <f t="shared" si="3"/>
        <v>KONTROL İÇİNDE</v>
      </c>
    </row>
    <row r="25" spans="1:8" x14ac:dyDescent="0.35">
      <c r="A25" s="21">
        <v>46070</v>
      </c>
      <c r="B25">
        <v>11</v>
      </c>
      <c r="C25">
        <v>0</v>
      </c>
      <c r="D25" s="15">
        <f t="shared" si="0"/>
        <v>0</v>
      </c>
      <c r="E25" s="15">
        <f t="shared" si="1"/>
        <v>5.5275095896986641E-2</v>
      </c>
      <c r="F25" s="15">
        <f t="shared" si="2"/>
        <v>0</v>
      </c>
      <c r="G25" s="15" t="str">
        <f t="shared" si="3"/>
        <v>KONTROL İÇİNDE</v>
      </c>
    </row>
    <row r="26" spans="1:8" x14ac:dyDescent="0.35">
      <c r="A26" s="21">
        <v>46071</v>
      </c>
      <c r="B26">
        <v>6</v>
      </c>
      <c r="C26">
        <v>0</v>
      </c>
      <c r="D26" s="15">
        <f t="shared" si="0"/>
        <v>0</v>
      </c>
      <c r="E26" s="15">
        <f t="shared" si="1"/>
        <v>7.3670627022767485E-2</v>
      </c>
      <c r="F26" s="15">
        <f t="shared" si="2"/>
        <v>0</v>
      </c>
      <c r="G26" s="15" t="str">
        <f t="shared" si="3"/>
        <v>KONTROL İÇİNDE</v>
      </c>
    </row>
    <row r="27" spans="1:8" x14ac:dyDescent="0.35">
      <c r="A27" s="21">
        <v>46072</v>
      </c>
      <c r="B27">
        <v>8</v>
      </c>
      <c r="C27">
        <v>0</v>
      </c>
      <c r="D27" s="15">
        <f t="shared" si="0"/>
        <v>0</v>
      </c>
      <c r="E27" s="15">
        <f t="shared" si="1"/>
        <v>6.4244259005224985E-2</v>
      </c>
      <c r="F27" s="15">
        <f t="shared" si="2"/>
        <v>0</v>
      </c>
      <c r="G27" s="15" t="str">
        <f t="shared" si="3"/>
        <v>KONTROL İÇİNDE</v>
      </c>
    </row>
    <row r="28" spans="1:8" x14ac:dyDescent="0.35">
      <c r="A28" s="21">
        <v>46076</v>
      </c>
      <c r="B28">
        <v>12</v>
      </c>
      <c r="C28">
        <v>0</v>
      </c>
      <c r="D28" s="15">
        <f t="shared" si="0"/>
        <v>0</v>
      </c>
      <c r="E28" s="15">
        <f t="shared" si="1"/>
        <v>5.3062845037472585E-2</v>
      </c>
      <c r="F28" s="15">
        <f t="shared" si="2"/>
        <v>0</v>
      </c>
      <c r="G28" s="15" t="str">
        <f t="shared" si="3"/>
        <v>KONTROL İÇİNDE</v>
      </c>
    </row>
    <row r="29" spans="1:8" x14ac:dyDescent="0.35">
      <c r="A29" s="21">
        <v>46077</v>
      </c>
      <c r="B29">
        <v>5</v>
      </c>
      <c r="C29">
        <v>0</v>
      </c>
      <c r="D29" s="15">
        <f t="shared" si="0"/>
        <v>0</v>
      </c>
      <c r="E29" s="15">
        <f t="shared" si="1"/>
        <v>8.038608506465228E-2</v>
      </c>
      <c r="F29" s="15">
        <f t="shared" si="2"/>
        <v>0</v>
      </c>
      <c r="G29" s="15" t="str">
        <f t="shared" si="3"/>
        <v>KONTROL İÇİNDE</v>
      </c>
    </row>
    <row r="30" spans="1:8" x14ac:dyDescent="0.35">
      <c r="A30" s="21">
        <v>46078</v>
      </c>
      <c r="B30">
        <v>3</v>
      </c>
      <c r="C30">
        <v>0</v>
      </c>
      <c r="D30" s="15">
        <f t="shared" si="0"/>
        <v>0</v>
      </c>
      <c r="E30" s="15">
        <f t="shared" si="1"/>
        <v>0.10281443179679947</v>
      </c>
      <c r="F30" s="15">
        <f t="shared" si="2"/>
        <v>0</v>
      </c>
      <c r="G30" s="15" t="str">
        <f t="shared" si="3"/>
        <v>KONTROL İÇİNDE</v>
      </c>
    </row>
    <row r="31" spans="1:8" x14ac:dyDescent="0.35">
      <c r="A31" s="21">
        <v>46079</v>
      </c>
      <c r="B31">
        <v>2</v>
      </c>
      <c r="C31">
        <v>0</v>
      </c>
      <c r="D31" s="15">
        <f t="shared" si="0"/>
        <v>0</v>
      </c>
      <c r="E31" s="15">
        <f t="shared" si="1"/>
        <v>0.12517725973230426</v>
      </c>
      <c r="F31" s="15">
        <f t="shared" si="2"/>
        <v>0</v>
      </c>
      <c r="G31" s="15" t="str">
        <f t="shared" si="3"/>
        <v>KONTROL İÇİNDE</v>
      </c>
    </row>
    <row r="32" spans="1:8" x14ac:dyDescent="0.35">
      <c r="A32" s="21">
        <v>46081</v>
      </c>
      <c r="B32">
        <v>28</v>
      </c>
      <c r="C32">
        <v>0</v>
      </c>
      <c r="D32" s="15">
        <f t="shared" si="0"/>
        <v>0</v>
      </c>
      <c r="E32" s="15">
        <f t="shared" si="1"/>
        <v>3.5881317173685437E-2</v>
      </c>
      <c r="F32" s="15">
        <f t="shared" si="2"/>
        <v>0</v>
      </c>
      <c r="G32" s="15" t="str">
        <f t="shared" si="3"/>
        <v>KONTROL İÇİNDE</v>
      </c>
    </row>
    <row r="33" spans="1:8" x14ac:dyDescent="0.35">
      <c r="A33" s="21">
        <v>46083</v>
      </c>
      <c r="B33">
        <v>2</v>
      </c>
      <c r="C33">
        <v>0</v>
      </c>
      <c r="D33" s="15">
        <f t="shared" si="0"/>
        <v>0</v>
      </c>
      <c r="E33" s="15">
        <f t="shared" si="1"/>
        <v>0.12517725973230426</v>
      </c>
      <c r="F33" s="15">
        <f t="shared" si="2"/>
        <v>0</v>
      </c>
      <c r="G33" s="15" t="str">
        <f t="shared" si="3"/>
        <v>KONTROL İÇİNDE</v>
      </c>
    </row>
    <row r="34" spans="1:8" x14ac:dyDescent="0.35">
      <c r="A34" s="21">
        <v>46084</v>
      </c>
      <c r="B34">
        <v>133</v>
      </c>
      <c r="C34">
        <v>0</v>
      </c>
      <c r="D34" s="15">
        <f t="shared" ref="D34:D65" si="4">C34/B34</f>
        <v>0</v>
      </c>
      <c r="E34" s="15">
        <f t="shared" ref="E34:E65" si="5">$D$148+3*SQRT($D$148*(1-$D$148)/B34)</f>
        <v>1.8255426205601031E-2</v>
      </c>
      <c r="F34" s="15">
        <f t="shared" ref="F34:F65" si="6">MAX(0,$D$148-3*SQRT($D$148*(1-$D$148)/B34))</f>
        <v>0</v>
      </c>
      <c r="G34" s="15" t="str">
        <f t="shared" ref="G34:G65" si="7">IF(AND(D34&lt;=E34,D34&gt;=F34),"KONTROL İÇİNDE"," KONTROL DIŞINDA")</f>
        <v>KONTROL İÇİNDE</v>
      </c>
    </row>
    <row r="35" spans="1:8" x14ac:dyDescent="0.35">
      <c r="A35" s="21">
        <v>46086</v>
      </c>
      <c r="B35">
        <v>25</v>
      </c>
      <c r="C35">
        <v>1</v>
      </c>
      <c r="D35" s="15">
        <f t="shared" si="4"/>
        <v>0.04</v>
      </c>
      <c r="E35" s="15">
        <f t="shared" si="5"/>
        <v>3.778016868787578E-2</v>
      </c>
      <c r="F35" s="15">
        <f t="shared" si="6"/>
        <v>0</v>
      </c>
      <c r="G35" s="15" t="str">
        <f t="shared" si="7"/>
        <v xml:space="preserve"> KONTROL DIŞINDA</v>
      </c>
      <c r="H35" s="6" t="s">
        <v>63</v>
      </c>
    </row>
    <row r="36" spans="1:8" x14ac:dyDescent="0.35">
      <c r="A36" s="21">
        <v>46087</v>
      </c>
      <c r="B36">
        <v>2</v>
      </c>
      <c r="C36">
        <v>0</v>
      </c>
      <c r="D36" s="15">
        <f t="shared" si="4"/>
        <v>0</v>
      </c>
      <c r="E36" s="15">
        <f t="shared" si="5"/>
        <v>0.12517725973230426</v>
      </c>
      <c r="F36" s="15">
        <f t="shared" si="6"/>
        <v>0</v>
      </c>
      <c r="G36" s="15" t="str">
        <f t="shared" si="7"/>
        <v>KONTROL İÇİNDE</v>
      </c>
    </row>
    <row r="37" spans="1:8" x14ac:dyDescent="0.35">
      <c r="A37" s="21">
        <v>46090</v>
      </c>
      <c r="B37">
        <v>2</v>
      </c>
      <c r="C37">
        <v>0</v>
      </c>
      <c r="D37" s="15">
        <f t="shared" si="4"/>
        <v>0</v>
      </c>
      <c r="E37" s="15">
        <f t="shared" si="5"/>
        <v>0.12517725973230426</v>
      </c>
      <c r="F37" s="15">
        <f t="shared" si="6"/>
        <v>0</v>
      </c>
      <c r="G37" s="15" t="str">
        <f t="shared" si="7"/>
        <v>KONTROL İÇİNDE</v>
      </c>
    </row>
    <row r="38" spans="1:8" x14ac:dyDescent="0.35">
      <c r="A38" s="21">
        <v>46091</v>
      </c>
      <c r="B38">
        <v>2</v>
      </c>
      <c r="C38">
        <v>0</v>
      </c>
      <c r="D38" s="15">
        <f t="shared" si="4"/>
        <v>0</v>
      </c>
      <c r="E38" s="15">
        <f t="shared" si="5"/>
        <v>0.12517725973230426</v>
      </c>
      <c r="F38" s="15">
        <f t="shared" si="6"/>
        <v>0</v>
      </c>
      <c r="G38" s="15" t="str">
        <f t="shared" si="7"/>
        <v>KONTROL İÇİNDE</v>
      </c>
    </row>
    <row r="39" spans="1:8" x14ac:dyDescent="0.35">
      <c r="A39" s="21">
        <v>46092</v>
      </c>
      <c r="B39">
        <v>9</v>
      </c>
      <c r="C39">
        <v>0</v>
      </c>
      <c r="D39" s="15">
        <f t="shared" si="4"/>
        <v>0</v>
      </c>
      <c r="E39" s="15">
        <f t="shared" si="5"/>
        <v>6.0759442294362496E-2</v>
      </c>
      <c r="F39" s="15">
        <f t="shared" si="6"/>
        <v>0</v>
      </c>
      <c r="G39" s="15" t="str">
        <f t="shared" si="7"/>
        <v>KONTROL İÇİNDE</v>
      </c>
    </row>
    <row r="40" spans="1:8" x14ac:dyDescent="0.35">
      <c r="A40" s="21">
        <v>46093</v>
      </c>
      <c r="B40">
        <v>23</v>
      </c>
      <c r="C40">
        <v>0</v>
      </c>
      <c r="D40" s="15">
        <f t="shared" si="4"/>
        <v>0</v>
      </c>
      <c r="E40" s="15">
        <f t="shared" si="5"/>
        <v>3.9247581564499062E-2</v>
      </c>
      <c r="F40" s="15">
        <f t="shared" si="6"/>
        <v>0</v>
      </c>
      <c r="G40" s="15" t="str">
        <f t="shared" si="7"/>
        <v>KONTROL İÇİNDE</v>
      </c>
    </row>
    <row r="41" spans="1:8" x14ac:dyDescent="0.35">
      <c r="A41" s="21">
        <v>46094</v>
      </c>
      <c r="B41">
        <v>1</v>
      </c>
      <c r="C41">
        <v>0</v>
      </c>
      <c r="D41" s="15">
        <f t="shared" si="4"/>
        <v>0</v>
      </c>
      <c r="E41" s="15">
        <f t="shared" si="5"/>
        <v>0.17565581032679606</v>
      </c>
      <c r="F41" s="15">
        <f t="shared" si="6"/>
        <v>0</v>
      </c>
      <c r="G41" s="15" t="str">
        <f t="shared" si="7"/>
        <v>KONTROL İÇİNDE</v>
      </c>
    </row>
    <row r="42" spans="1:8" x14ac:dyDescent="0.35">
      <c r="A42" s="21">
        <v>46096</v>
      </c>
      <c r="B42">
        <v>1</v>
      </c>
      <c r="C42">
        <v>0</v>
      </c>
      <c r="D42" s="15">
        <f t="shared" si="4"/>
        <v>0</v>
      </c>
      <c r="E42" s="15">
        <f t="shared" si="5"/>
        <v>0.17565581032679606</v>
      </c>
      <c r="F42" s="15">
        <f t="shared" si="6"/>
        <v>0</v>
      </c>
      <c r="G42" s="15" t="str">
        <f t="shared" si="7"/>
        <v>KONTROL İÇİNDE</v>
      </c>
    </row>
    <row r="43" spans="1:8" x14ac:dyDescent="0.35">
      <c r="A43" s="21">
        <v>46097</v>
      </c>
      <c r="B43">
        <v>33</v>
      </c>
      <c r="C43">
        <v>0</v>
      </c>
      <c r="D43" s="15">
        <f t="shared" si="4"/>
        <v>0</v>
      </c>
      <c r="E43" s="15">
        <f t="shared" si="5"/>
        <v>3.3312593915509517E-2</v>
      </c>
      <c r="F43" s="15">
        <f t="shared" si="6"/>
        <v>0</v>
      </c>
      <c r="G43" s="15" t="str">
        <f t="shared" si="7"/>
        <v>KONTROL İÇİNDE</v>
      </c>
    </row>
    <row r="44" spans="1:8" x14ac:dyDescent="0.35">
      <c r="A44" s="21">
        <v>46098</v>
      </c>
      <c r="B44">
        <v>17</v>
      </c>
      <c r="C44">
        <v>0</v>
      </c>
      <c r="D44" s="15">
        <f t="shared" si="4"/>
        <v>0</v>
      </c>
      <c r="E44" s="15">
        <f t="shared" si="5"/>
        <v>4.5110951930871938E-2</v>
      </c>
      <c r="F44" s="15">
        <f t="shared" si="6"/>
        <v>0</v>
      </c>
      <c r="G44" s="15" t="str">
        <f t="shared" si="7"/>
        <v>KONTROL İÇİNDE</v>
      </c>
    </row>
    <row r="45" spans="1:8" x14ac:dyDescent="0.35">
      <c r="A45" s="21">
        <v>46099</v>
      </c>
      <c r="B45">
        <v>30</v>
      </c>
      <c r="C45">
        <v>0</v>
      </c>
      <c r="D45" s="15">
        <f t="shared" si="4"/>
        <v>0</v>
      </c>
      <c r="E45" s="15">
        <f t="shared" si="5"/>
        <v>3.477692455153536E-2</v>
      </c>
      <c r="F45" s="15">
        <f t="shared" si="6"/>
        <v>0</v>
      </c>
      <c r="G45" s="15" t="str">
        <f t="shared" si="7"/>
        <v>KONTROL İÇİNDE</v>
      </c>
    </row>
    <row r="46" spans="1:8" x14ac:dyDescent="0.35">
      <c r="A46" s="21">
        <v>46101</v>
      </c>
      <c r="B46">
        <v>1</v>
      </c>
      <c r="C46">
        <v>0</v>
      </c>
      <c r="D46" s="15">
        <f t="shared" si="4"/>
        <v>0</v>
      </c>
      <c r="E46" s="15">
        <f t="shared" si="5"/>
        <v>0.17565581032679606</v>
      </c>
      <c r="F46" s="15">
        <f t="shared" si="6"/>
        <v>0</v>
      </c>
      <c r="G46" s="15" t="str">
        <f t="shared" si="7"/>
        <v>KONTROL İÇİNDE</v>
      </c>
    </row>
    <row r="47" spans="1:8" x14ac:dyDescent="0.35">
      <c r="A47" s="21">
        <v>46105</v>
      </c>
      <c r="B47">
        <v>100</v>
      </c>
      <c r="C47">
        <v>0</v>
      </c>
      <c r="D47" s="15">
        <f t="shared" si="4"/>
        <v>0</v>
      </c>
      <c r="E47" s="15">
        <f t="shared" si="5"/>
        <v>2.0545713483010736E-2</v>
      </c>
      <c r="F47" s="15">
        <f t="shared" si="6"/>
        <v>0</v>
      </c>
      <c r="G47" s="15" t="str">
        <f t="shared" si="7"/>
        <v>KONTROL İÇİNDE</v>
      </c>
    </row>
    <row r="48" spans="1:8" x14ac:dyDescent="0.35">
      <c r="A48" s="21">
        <v>46106</v>
      </c>
      <c r="B48">
        <v>55</v>
      </c>
      <c r="C48">
        <v>0</v>
      </c>
      <c r="D48" s="15">
        <f t="shared" si="4"/>
        <v>0</v>
      </c>
      <c r="E48" s="15">
        <f t="shared" si="5"/>
        <v>2.6550192935643525E-2</v>
      </c>
      <c r="F48" s="15">
        <f t="shared" si="6"/>
        <v>0</v>
      </c>
      <c r="G48" s="15" t="str">
        <f t="shared" si="7"/>
        <v>KONTROL İÇİNDE</v>
      </c>
    </row>
    <row r="49" spans="1:7" x14ac:dyDescent="0.35">
      <c r="A49" s="21">
        <v>46107</v>
      </c>
      <c r="B49">
        <v>1</v>
      </c>
      <c r="C49">
        <v>0</v>
      </c>
      <c r="D49" s="15">
        <f t="shared" si="4"/>
        <v>0</v>
      </c>
      <c r="E49" s="15">
        <f t="shared" si="5"/>
        <v>0.17565581032679606</v>
      </c>
      <c r="F49" s="15">
        <f t="shared" si="6"/>
        <v>0</v>
      </c>
      <c r="G49" s="15" t="str">
        <f t="shared" si="7"/>
        <v>KONTROL İÇİNDE</v>
      </c>
    </row>
    <row r="50" spans="1:7" x14ac:dyDescent="0.35">
      <c r="A50" s="21">
        <v>46108</v>
      </c>
      <c r="B50">
        <v>23</v>
      </c>
      <c r="C50">
        <v>0</v>
      </c>
      <c r="D50" s="15">
        <f t="shared" si="4"/>
        <v>0</v>
      </c>
      <c r="E50" s="15">
        <f t="shared" si="5"/>
        <v>3.9247581564499062E-2</v>
      </c>
      <c r="F50" s="15">
        <f t="shared" si="6"/>
        <v>0</v>
      </c>
      <c r="G50" s="15" t="str">
        <f t="shared" si="7"/>
        <v>KONTROL İÇİNDE</v>
      </c>
    </row>
    <row r="51" spans="1:7" x14ac:dyDescent="0.35">
      <c r="A51" s="21">
        <v>46111</v>
      </c>
      <c r="B51">
        <v>2</v>
      </c>
      <c r="C51">
        <v>0</v>
      </c>
      <c r="D51" s="15">
        <f t="shared" si="4"/>
        <v>0</v>
      </c>
      <c r="E51" s="15">
        <f t="shared" si="5"/>
        <v>0.12517725973230426</v>
      </c>
      <c r="F51" s="15">
        <f t="shared" si="6"/>
        <v>0</v>
      </c>
      <c r="G51" s="15" t="str">
        <f t="shared" si="7"/>
        <v>KONTROL İÇİNDE</v>
      </c>
    </row>
    <row r="52" spans="1:7" x14ac:dyDescent="0.35">
      <c r="A52" s="21">
        <v>46112</v>
      </c>
      <c r="B52">
        <v>1</v>
      </c>
      <c r="C52">
        <v>0</v>
      </c>
      <c r="D52" s="15">
        <f t="shared" si="4"/>
        <v>0</v>
      </c>
      <c r="E52" s="15">
        <f t="shared" si="5"/>
        <v>0.17565581032679606</v>
      </c>
      <c r="F52" s="15">
        <f t="shared" si="6"/>
        <v>0</v>
      </c>
      <c r="G52" s="15" t="str">
        <f t="shared" si="7"/>
        <v>KONTROL İÇİNDE</v>
      </c>
    </row>
    <row r="53" spans="1:7" x14ac:dyDescent="0.35">
      <c r="A53" s="21">
        <v>46113</v>
      </c>
      <c r="B53">
        <v>2</v>
      </c>
      <c r="C53">
        <v>0</v>
      </c>
      <c r="D53" s="15">
        <f t="shared" si="4"/>
        <v>0</v>
      </c>
      <c r="E53" s="15">
        <f t="shared" si="5"/>
        <v>0.12517725973230426</v>
      </c>
      <c r="F53" s="15">
        <f t="shared" si="6"/>
        <v>0</v>
      </c>
      <c r="G53" s="15" t="str">
        <f t="shared" si="7"/>
        <v>KONTROL İÇİNDE</v>
      </c>
    </row>
    <row r="54" spans="1:7" x14ac:dyDescent="0.35">
      <c r="A54" s="21">
        <v>46115</v>
      </c>
      <c r="B54">
        <v>8</v>
      </c>
      <c r="C54">
        <v>0</v>
      </c>
      <c r="D54" s="15">
        <f t="shared" si="4"/>
        <v>0</v>
      </c>
      <c r="E54" s="15">
        <f t="shared" si="5"/>
        <v>6.4244259005224985E-2</v>
      </c>
      <c r="F54" s="15">
        <f t="shared" si="6"/>
        <v>0</v>
      </c>
      <c r="G54" s="15" t="str">
        <f t="shared" si="7"/>
        <v>KONTROL İÇİNDE</v>
      </c>
    </row>
    <row r="55" spans="1:7" x14ac:dyDescent="0.35">
      <c r="A55" s="21">
        <v>46118</v>
      </c>
      <c r="B55">
        <v>2</v>
      </c>
      <c r="C55">
        <v>0</v>
      </c>
      <c r="D55" s="15">
        <f t="shared" si="4"/>
        <v>0</v>
      </c>
      <c r="E55" s="15">
        <f t="shared" si="5"/>
        <v>0.12517725973230426</v>
      </c>
      <c r="F55" s="15">
        <f t="shared" si="6"/>
        <v>0</v>
      </c>
      <c r="G55" s="15" t="str">
        <f t="shared" si="7"/>
        <v>KONTROL İÇİNDE</v>
      </c>
    </row>
    <row r="56" spans="1:7" x14ac:dyDescent="0.35">
      <c r="A56" s="21">
        <v>46119</v>
      </c>
      <c r="B56">
        <v>14</v>
      </c>
      <c r="C56">
        <v>0</v>
      </c>
      <c r="D56" s="15">
        <f t="shared" si="4"/>
        <v>0</v>
      </c>
      <c r="E56" s="15">
        <f t="shared" si="5"/>
        <v>4.9372277295508464E-2</v>
      </c>
      <c r="F56" s="15">
        <f t="shared" si="6"/>
        <v>0</v>
      </c>
      <c r="G56" s="15" t="str">
        <f t="shared" si="7"/>
        <v>KONTROL İÇİNDE</v>
      </c>
    </row>
    <row r="57" spans="1:7" x14ac:dyDescent="0.35">
      <c r="A57" s="21">
        <v>46120</v>
      </c>
      <c r="B57">
        <v>8</v>
      </c>
      <c r="C57">
        <v>0</v>
      </c>
      <c r="D57" s="15">
        <f t="shared" si="4"/>
        <v>0</v>
      </c>
      <c r="E57" s="15">
        <f t="shared" si="5"/>
        <v>6.4244259005224985E-2</v>
      </c>
      <c r="F57" s="15">
        <f t="shared" si="6"/>
        <v>0</v>
      </c>
      <c r="G57" s="15" t="str">
        <f t="shared" si="7"/>
        <v>KONTROL İÇİNDE</v>
      </c>
    </row>
    <row r="58" spans="1:7" x14ac:dyDescent="0.35">
      <c r="A58" s="21">
        <v>46121</v>
      </c>
      <c r="B58">
        <v>25</v>
      </c>
      <c r="C58">
        <v>0</v>
      </c>
      <c r="D58" s="15">
        <f t="shared" si="4"/>
        <v>0</v>
      </c>
      <c r="E58" s="15">
        <f t="shared" si="5"/>
        <v>3.778016868787578E-2</v>
      </c>
      <c r="F58" s="15">
        <f t="shared" si="6"/>
        <v>0</v>
      </c>
      <c r="G58" s="15" t="str">
        <f t="shared" si="7"/>
        <v>KONTROL İÇİNDE</v>
      </c>
    </row>
    <row r="59" spans="1:7" x14ac:dyDescent="0.35">
      <c r="A59" s="21">
        <v>46122</v>
      </c>
      <c r="B59">
        <v>1</v>
      </c>
      <c r="C59">
        <v>0</v>
      </c>
      <c r="D59" s="15">
        <f t="shared" si="4"/>
        <v>0</v>
      </c>
      <c r="E59" s="15">
        <f t="shared" si="5"/>
        <v>0.17565581032679606</v>
      </c>
      <c r="F59" s="15">
        <f t="shared" si="6"/>
        <v>0</v>
      </c>
      <c r="G59" s="15" t="str">
        <f t="shared" si="7"/>
        <v>KONTROL İÇİNDE</v>
      </c>
    </row>
    <row r="60" spans="1:7" x14ac:dyDescent="0.35">
      <c r="A60" s="21">
        <v>46125</v>
      </c>
      <c r="B60">
        <v>43</v>
      </c>
      <c r="C60">
        <v>0</v>
      </c>
      <c r="D60" s="15">
        <f t="shared" si="4"/>
        <v>0</v>
      </c>
      <c r="E60" s="15">
        <f t="shared" si="5"/>
        <v>2.9593556070178051E-2</v>
      </c>
      <c r="F60" s="15">
        <f t="shared" si="6"/>
        <v>0</v>
      </c>
      <c r="G60" s="15" t="str">
        <f t="shared" si="7"/>
        <v>KONTROL İÇİNDE</v>
      </c>
    </row>
    <row r="61" spans="1:7" x14ac:dyDescent="0.35">
      <c r="A61" s="21">
        <v>46126</v>
      </c>
      <c r="B61">
        <v>14</v>
      </c>
      <c r="C61">
        <v>0</v>
      </c>
      <c r="D61" s="15">
        <f t="shared" si="4"/>
        <v>0</v>
      </c>
      <c r="E61" s="15">
        <f t="shared" si="5"/>
        <v>4.9372277295508464E-2</v>
      </c>
      <c r="F61" s="15">
        <f t="shared" si="6"/>
        <v>0</v>
      </c>
      <c r="G61" s="15" t="str">
        <f t="shared" si="7"/>
        <v>KONTROL İÇİNDE</v>
      </c>
    </row>
    <row r="62" spans="1:7" x14ac:dyDescent="0.35">
      <c r="A62" s="21">
        <v>46127</v>
      </c>
      <c r="B62">
        <v>5</v>
      </c>
      <c r="C62">
        <v>0</v>
      </c>
      <c r="D62" s="15">
        <f t="shared" si="4"/>
        <v>0</v>
      </c>
      <c r="E62" s="15">
        <f t="shared" si="5"/>
        <v>8.038608506465228E-2</v>
      </c>
      <c r="F62" s="15">
        <f t="shared" si="6"/>
        <v>0</v>
      </c>
      <c r="G62" s="15" t="str">
        <f t="shared" si="7"/>
        <v>KONTROL İÇİNDE</v>
      </c>
    </row>
    <row r="63" spans="1:7" x14ac:dyDescent="0.35">
      <c r="A63" s="21">
        <v>46128</v>
      </c>
      <c r="B63">
        <v>53</v>
      </c>
      <c r="C63">
        <v>0</v>
      </c>
      <c r="D63" s="15">
        <f t="shared" si="4"/>
        <v>0</v>
      </c>
      <c r="E63" s="15">
        <f t="shared" si="5"/>
        <v>2.6984603141032498E-2</v>
      </c>
      <c r="F63" s="15">
        <f t="shared" si="6"/>
        <v>0</v>
      </c>
      <c r="G63" s="15" t="str">
        <f t="shared" si="7"/>
        <v>KONTROL İÇİNDE</v>
      </c>
    </row>
    <row r="64" spans="1:7" x14ac:dyDescent="0.35">
      <c r="A64" s="21">
        <v>46132</v>
      </c>
      <c r="B64">
        <v>8</v>
      </c>
      <c r="C64">
        <v>0</v>
      </c>
      <c r="D64" s="15">
        <f t="shared" si="4"/>
        <v>0</v>
      </c>
      <c r="E64" s="15">
        <f t="shared" si="5"/>
        <v>6.4244259005224985E-2</v>
      </c>
      <c r="F64" s="15">
        <f t="shared" si="6"/>
        <v>0</v>
      </c>
      <c r="G64" s="15" t="str">
        <f t="shared" si="7"/>
        <v>KONTROL İÇİNDE</v>
      </c>
    </row>
    <row r="65" spans="1:7" x14ac:dyDescent="0.35">
      <c r="A65" s="21">
        <v>46133</v>
      </c>
      <c r="B65">
        <v>19</v>
      </c>
      <c r="C65">
        <v>0</v>
      </c>
      <c r="D65" s="15">
        <f t="shared" si="4"/>
        <v>0</v>
      </c>
      <c r="E65" s="15">
        <f t="shared" si="5"/>
        <v>4.2849810164980053E-2</v>
      </c>
      <c r="F65" s="15">
        <f t="shared" si="6"/>
        <v>0</v>
      </c>
      <c r="G65" s="15" t="str">
        <f t="shared" si="7"/>
        <v>KONTROL İÇİNDE</v>
      </c>
    </row>
    <row r="66" spans="1:7" x14ac:dyDescent="0.35">
      <c r="A66" s="21">
        <v>46134</v>
      </c>
      <c r="B66">
        <v>2</v>
      </c>
      <c r="C66">
        <v>0</v>
      </c>
      <c r="D66" s="15">
        <f t="shared" ref="D66:D97" si="8">C66/B66</f>
        <v>0</v>
      </c>
      <c r="E66" s="15">
        <f t="shared" ref="E66:E97" si="9">$D$148+3*SQRT($D$148*(1-$D$148)/B66)</f>
        <v>0.12517725973230426</v>
      </c>
      <c r="F66" s="15">
        <f t="shared" ref="F66:F97" si="10">MAX(0,$D$148-3*SQRT($D$148*(1-$D$148)/B66))</f>
        <v>0</v>
      </c>
      <c r="G66" s="15" t="str">
        <f t="shared" ref="G66:G97" si="11">IF(AND(D66&lt;=E66,D66&gt;=F66),"KONTROL İÇİNDE"," KONTROL DIŞINDA")</f>
        <v>KONTROL İÇİNDE</v>
      </c>
    </row>
    <row r="67" spans="1:7" x14ac:dyDescent="0.35">
      <c r="A67" s="21">
        <v>46136</v>
      </c>
      <c r="B67">
        <v>51</v>
      </c>
      <c r="C67">
        <v>0</v>
      </c>
      <c r="D67" s="15">
        <f t="shared" si="8"/>
        <v>0</v>
      </c>
      <c r="E67" s="15">
        <f t="shared" si="9"/>
        <v>2.7444322660591082E-2</v>
      </c>
      <c r="F67" s="15">
        <f t="shared" si="10"/>
        <v>0</v>
      </c>
      <c r="G67" s="15" t="str">
        <f t="shared" si="11"/>
        <v>KONTROL İÇİNDE</v>
      </c>
    </row>
    <row r="68" spans="1:7" x14ac:dyDescent="0.35">
      <c r="A68" s="21">
        <v>46139</v>
      </c>
      <c r="B68">
        <v>22</v>
      </c>
      <c r="C68">
        <v>0</v>
      </c>
      <c r="D68" s="15">
        <f t="shared" si="8"/>
        <v>0</v>
      </c>
      <c r="E68" s="15">
        <f t="shared" si="9"/>
        <v>4.0055240234904747E-2</v>
      </c>
      <c r="F68" s="15">
        <f t="shared" si="10"/>
        <v>0</v>
      </c>
      <c r="G68" s="15" t="str">
        <f t="shared" si="11"/>
        <v>KONTROL İÇİNDE</v>
      </c>
    </row>
    <row r="69" spans="1:7" x14ac:dyDescent="0.35">
      <c r="A69" s="21">
        <v>46140</v>
      </c>
      <c r="B69">
        <v>72</v>
      </c>
      <c r="C69">
        <v>0</v>
      </c>
      <c r="D69" s="15">
        <f t="shared" si="8"/>
        <v>0</v>
      </c>
      <c r="E69" s="15">
        <f t="shared" si="9"/>
        <v>2.3622258520505455E-2</v>
      </c>
      <c r="F69" s="15">
        <f t="shared" si="10"/>
        <v>0</v>
      </c>
      <c r="G69" s="15" t="str">
        <f t="shared" si="11"/>
        <v>KONTROL İÇİNDE</v>
      </c>
    </row>
    <row r="70" spans="1:7" x14ac:dyDescent="0.35">
      <c r="A70" s="21">
        <v>46141</v>
      </c>
      <c r="B70">
        <v>9</v>
      </c>
      <c r="C70">
        <v>0</v>
      </c>
      <c r="D70" s="15">
        <f t="shared" si="8"/>
        <v>0</v>
      </c>
      <c r="E70" s="15">
        <f t="shared" si="9"/>
        <v>6.0759442294362496E-2</v>
      </c>
      <c r="F70" s="15">
        <f t="shared" si="10"/>
        <v>0</v>
      </c>
      <c r="G70" s="15" t="str">
        <f t="shared" si="11"/>
        <v>KONTROL İÇİNDE</v>
      </c>
    </row>
    <row r="71" spans="1:7" x14ac:dyDescent="0.35">
      <c r="A71" s="21">
        <v>46142</v>
      </c>
      <c r="B71">
        <v>8</v>
      </c>
      <c r="C71">
        <v>0</v>
      </c>
      <c r="D71" s="15">
        <f t="shared" si="8"/>
        <v>0</v>
      </c>
      <c r="E71" s="15">
        <f t="shared" si="9"/>
        <v>6.4244259005224985E-2</v>
      </c>
      <c r="F71" s="15">
        <f t="shared" si="10"/>
        <v>0</v>
      </c>
      <c r="G71" s="15" t="str">
        <f t="shared" si="11"/>
        <v>KONTROL İÇİNDE</v>
      </c>
    </row>
    <row r="72" spans="1:7" x14ac:dyDescent="0.35">
      <c r="A72" s="21">
        <v>46147</v>
      </c>
      <c r="B72">
        <v>1</v>
      </c>
      <c r="C72">
        <v>0</v>
      </c>
      <c r="D72" s="15">
        <f t="shared" si="8"/>
        <v>0</v>
      </c>
      <c r="E72" s="15">
        <f t="shared" si="9"/>
        <v>0.17565581032679606</v>
      </c>
      <c r="F72" s="15">
        <f t="shared" si="10"/>
        <v>0</v>
      </c>
      <c r="G72" s="15" t="str">
        <f t="shared" si="11"/>
        <v>KONTROL İÇİNDE</v>
      </c>
    </row>
    <row r="73" spans="1:7" x14ac:dyDescent="0.35">
      <c r="A73" s="21">
        <v>46148</v>
      </c>
      <c r="B73">
        <v>5</v>
      </c>
      <c r="C73">
        <v>0</v>
      </c>
      <c r="D73" s="15">
        <f t="shared" si="8"/>
        <v>0</v>
      </c>
      <c r="E73" s="15">
        <f t="shared" si="9"/>
        <v>8.038608506465228E-2</v>
      </c>
      <c r="F73" s="15">
        <f t="shared" si="10"/>
        <v>0</v>
      </c>
      <c r="G73" s="15" t="str">
        <f t="shared" si="11"/>
        <v>KONTROL İÇİNDE</v>
      </c>
    </row>
    <row r="74" spans="1:7" x14ac:dyDescent="0.35">
      <c r="A74" s="21">
        <v>46149</v>
      </c>
      <c r="B74">
        <v>6</v>
      </c>
      <c r="C74">
        <v>0</v>
      </c>
      <c r="D74" s="15">
        <f t="shared" si="8"/>
        <v>0</v>
      </c>
      <c r="E74" s="15">
        <f t="shared" si="9"/>
        <v>7.3670627022767485E-2</v>
      </c>
      <c r="F74" s="15">
        <f t="shared" si="10"/>
        <v>0</v>
      </c>
      <c r="G74" s="15" t="str">
        <f t="shared" si="11"/>
        <v>KONTROL İÇİNDE</v>
      </c>
    </row>
    <row r="75" spans="1:7" x14ac:dyDescent="0.35">
      <c r="A75" s="21">
        <v>46150</v>
      </c>
      <c r="B75">
        <v>2</v>
      </c>
      <c r="C75">
        <v>0</v>
      </c>
      <c r="D75" s="15">
        <f t="shared" si="8"/>
        <v>0</v>
      </c>
      <c r="E75" s="15">
        <f t="shared" si="9"/>
        <v>0.12517725973230426</v>
      </c>
      <c r="F75" s="15">
        <f t="shared" si="10"/>
        <v>0</v>
      </c>
      <c r="G75" s="15" t="str">
        <f t="shared" si="11"/>
        <v>KONTROL İÇİNDE</v>
      </c>
    </row>
    <row r="76" spans="1:7" x14ac:dyDescent="0.35">
      <c r="A76" s="21">
        <v>46153</v>
      </c>
      <c r="B76">
        <v>1</v>
      </c>
      <c r="C76">
        <v>0</v>
      </c>
      <c r="D76" s="15">
        <f t="shared" si="8"/>
        <v>0</v>
      </c>
      <c r="E76" s="15">
        <f t="shared" si="9"/>
        <v>0.17565581032679606</v>
      </c>
      <c r="F76" s="15">
        <f t="shared" si="10"/>
        <v>0</v>
      </c>
      <c r="G76" s="15" t="str">
        <f t="shared" si="11"/>
        <v>KONTROL İÇİNDE</v>
      </c>
    </row>
    <row r="77" spans="1:7" x14ac:dyDescent="0.35">
      <c r="A77" s="21">
        <v>46156</v>
      </c>
      <c r="B77">
        <v>70</v>
      </c>
      <c r="C77">
        <v>0</v>
      </c>
      <c r="D77" s="15">
        <f t="shared" si="8"/>
        <v>0</v>
      </c>
      <c r="E77" s="15">
        <f t="shared" si="9"/>
        <v>2.3910372205292438E-2</v>
      </c>
      <c r="F77" s="15">
        <f t="shared" si="10"/>
        <v>0</v>
      </c>
      <c r="G77" s="15" t="str">
        <f t="shared" si="11"/>
        <v>KONTROL İÇİNDE</v>
      </c>
    </row>
    <row r="78" spans="1:7" x14ac:dyDescent="0.35">
      <c r="A78" s="21">
        <v>46160</v>
      </c>
      <c r="B78">
        <v>3</v>
      </c>
      <c r="C78">
        <v>0</v>
      </c>
      <c r="D78" s="15">
        <f t="shared" si="8"/>
        <v>0</v>
      </c>
      <c r="E78" s="15">
        <f t="shared" si="9"/>
        <v>0.10281443179679947</v>
      </c>
      <c r="F78" s="15">
        <f t="shared" si="10"/>
        <v>0</v>
      </c>
      <c r="G78" s="15" t="str">
        <f t="shared" si="11"/>
        <v>KONTROL İÇİNDE</v>
      </c>
    </row>
    <row r="79" spans="1:7" x14ac:dyDescent="0.35">
      <c r="A79" s="21">
        <v>46163</v>
      </c>
      <c r="B79">
        <v>2</v>
      </c>
      <c r="C79">
        <v>0</v>
      </c>
      <c r="D79" s="15">
        <f t="shared" si="8"/>
        <v>0</v>
      </c>
      <c r="E79" s="15">
        <f t="shared" si="9"/>
        <v>0.12517725973230426</v>
      </c>
      <c r="F79" s="15">
        <f t="shared" si="10"/>
        <v>0</v>
      </c>
      <c r="G79" s="15" t="str">
        <f t="shared" si="11"/>
        <v>KONTROL İÇİNDE</v>
      </c>
    </row>
    <row r="80" spans="1:7" x14ac:dyDescent="0.35">
      <c r="A80" s="21">
        <v>46176</v>
      </c>
      <c r="B80">
        <v>8</v>
      </c>
      <c r="C80">
        <v>0</v>
      </c>
      <c r="D80" s="15">
        <f t="shared" si="8"/>
        <v>0</v>
      </c>
      <c r="E80" s="15">
        <f t="shared" si="9"/>
        <v>6.4244259005224985E-2</v>
      </c>
      <c r="F80" s="15">
        <f t="shared" si="10"/>
        <v>0</v>
      </c>
      <c r="G80" s="15" t="str">
        <f t="shared" si="11"/>
        <v>KONTROL İÇİNDE</v>
      </c>
    </row>
    <row r="81" spans="1:7" x14ac:dyDescent="0.35">
      <c r="A81" s="21">
        <v>46177</v>
      </c>
      <c r="B81">
        <v>18</v>
      </c>
      <c r="C81">
        <v>0</v>
      </c>
      <c r="D81" s="15">
        <f t="shared" si="8"/>
        <v>0</v>
      </c>
      <c r="E81" s="15">
        <f t="shared" si="9"/>
        <v>4.3933258762865218E-2</v>
      </c>
      <c r="F81" s="15">
        <f t="shared" si="10"/>
        <v>0</v>
      </c>
      <c r="G81" s="15" t="str">
        <f t="shared" si="11"/>
        <v>KONTROL İÇİNDE</v>
      </c>
    </row>
    <row r="82" spans="1:7" x14ac:dyDescent="0.35">
      <c r="A82" s="21">
        <v>46178</v>
      </c>
      <c r="B82">
        <v>6</v>
      </c>
      <c r="C82">
        <v>0</v>
      </c>
      <c r="D82" s="15">
        <f t="shared" si="8"/>
        <v>0</v>
      </c>
      <c r="E82" s="15">
        <f t="shared" si="9"/>
        <v>7.3670627022767485E-2</v>
      </c>
      <c r="F82" s="15">
        <f t="shared" si="10"/>
        <v>0</v>
      </c>
      <c r="G82" s="15" t="str">
        <f t="shared" si="11"/>
        <v>KONTROL İÇİNDE</v>
      </c>
    </row>
    <row r="83" spans="1:7" x14ac:dyDescent="0.35">
      <c r="A83" s="21">
        <v>46181</v>
      </c>
      <c r="B83">
        <v>35</v>
      </c>
      <c r="C83">
        <v>0</v>
      </c>
      <c r="D83" s="15">
        <f t="shared" si="8"/>
        <v>0</v>
      </c>
      <c r="E83" s="15">
        <f t="shared" si="9"/>
        <v>3.2442804566785124E-2</v>
      </c>
      <c r="F83" s="15">
        <f t="shared" si="10"/>
        <v>0</v>
      </c>
      <c r="G83" s="15" t="str">
        <f t="shared" si="11"/>
        <v>KONTROL İÇİNDE</v>
      </c>
    </row>
    <row r="84" spans="1:7" x14ac:dyDescent="0.35">
      <c r="A84" s="21">
        <v>46182</v>
      </c>
      <c r="B84">
        <v>13</v>
      </c>
      <c r="C84">
        <v>0</v>
      </c>
      <c r="D84" s="15">
        <f t="shared" si="8"/>
        <v>0</v>
      </c>
      <c r="E84" s="15">
        <f t="shared" si="9"/>
        <v>5.1111036698013493E-2</v>
      </c>
      <c r="F84" s="15">
        <f t="shared" si="10"/>
        <v>0</v>
      </c>
      <c r="G84" s="15" t="str">
        <f t="shared" si="11"/>
        <v>KONTROL İÇİNDE</v>
      </c>
    </row>
    <row r="85" spans="1:7" x14ac:dyDescent="0.35">
      <c r="A85" s="21">
        <v>46183</v>
      </c>
      <c r="B85">
        <v>67</v>
      </c>
      <c r="C85">
        <v>0</v>
      </c>
      <c r="D85" s="15">
        <f t="shared" si="8"/>
        <v>0</v>
      </c>
      <c r="E85" s="15">
        <f t="shared" si="9"/>
        <v>2.4366496439765638E-2</v>
      </c>
      <c r="F85" s="15">
        <f t="shared" si="10"/>
        <v>0</v>
      </c>
      <c r="G85" s="15" t="str">
        <f t="shared" si="11"/>
        <v>KONTROL İÇİNDE</v>
      </c>
    </row>
    <row r="86" spans="1:7" x14ac:dyDescent="0.35">
      <c r="A86" s="21">
        <v>46184</v>
      </c>
      <c r="B86">
        <v>147</v>
      </c>
      <c r="C86">
        <v>0</v>
      </c>
      <c r="D86" s="15">
        <f t="shared" si="8"/>
        <v>0</v>
      </c>
      <c r="E86" s="15">
        <f t="shared" si="9"/>
        <v>1.752599735223909E-2</v>
      </c>
      <c r="F86" s="15">
        <f t="shared" si="10"/>
        <v>0</v>
      </c>
      <c r="G86" s="15" t="str">
        <f t="shared" si="11"/>
        <v>KONTROL İÇİNDE</v>
      </c>
    </row>
    <row r="87" spans="1:7" x14ac:dyDescent="0.35">
      <c r="A87" s="21">
        <v>46185</v>
      </c>
      <c r="B87">
        <v>4</v>
      </c>
      <c r="C87">
        <v>0</v>
      </c>
      <c r="D87" s="15">
        <f t="shared" si="8"/>
        <v>0</v>
      </c>
      <c r="E87" s="15">
        <f t="shared" si="9"/>
        <v>8.9483534302470885E-2</v>
      </c>
      <c r="F87" s="15">
        <f t="shared" si="10"/>
        <v>0</v>
      </c>
      <c r="G87" s="15" t="str">
        <f t="shared" si="11"/>
        <v>KONTROL İÇİNDE</v>
      </c>
    </row>
    <row r="88" spans="1:7" x14ac:dyDescent="0.35">
      <c r="A88" s="21">
        <v>46186</v>
      </c>
      <c r="B88">
        <v>15</v>
      </c>
      <c r="C88">
        <v>5</v>
      </c>
      <c r="D88" s="15">
        <f t="shared" si="8"/>
        <v>0.33333333333333331</v>
      </c>
      <c r="E88" s="15">
        <f t="shared" si="9"/>
        <v>4.7810430271079049E-2</v>
      </c>
      <c r="F88" s="15">
        <f t="shared" si="10"/>
        <v>0</v>
      </c>
      <c r="G88" s="15" t="str">
        <f t="shared" si="11"/>
        <v xml:space="preserve"> KONTROL DIŞINDA</v>
      </c>
    </row>
    <row r="89" spans="1:7" x14ac:dyDescent="0.35">
      <c r="A89" s="21">
        <v>46188</v>
      </c>
      <c r="B89">
        <v>5</v>
      </c>
      <c r="C89">
        <v>0</v>
      </c>
      <c r="D89" s="15">
        <f t="shared" si="8"/>
        <v>0</v>
      </c>
      <c r="E89" s="15">
        <f t="shared" si="9"/>
        <v>8.038608506465228E-2</v>
      </c>
      <c r="F89" s="15">
        <f t="shared" si="10"/>
        <v>0</v>
      </c>
      <c r="G89" s="15" t="str">
        <f t="shared" si="11"/>
        <v>KONTROL İÇİNDE</v>
      </c>
    </row>
    <row r="90" spans="1:7" x14ac:dyDescent="0.35">
      <c r="A90" s="21">
        <v>46189</v>
      </c>
      <c r="B90">
        <v>19</v>
      </c>
      <c r="C90">
        <v>0</v>
      </c>
      <c r="D90" s="15">
        <f t="shared" si="8"/>
        <v>0</v>
      </c>
      <c r="E90" s="15">
        <f t="shared" si="9"/>
        <v>4.2849810164980053E-2</v>
      </c>
      <c r="F90" s="15">
        <f t="shared" si="10"/>
        <v>0</v>
      </c>
      <c r="G90" s="15" t="str">
        <f t="shared" si="11"/>
        <v>KONTROL İÇİNDE</v>
      </c>
    </row>
    <row r="91" spans="1:7" x14ac:dyDescent="0.35">
      <c r="A91" s="21">
        <v>46190</v>
      </c>
      <c r="B91">
        <v>9</v>
      </c>
      <c r="C91">
        <v>0</v>
      </c>
      <c r="D91" s="15">
        <f t="shared" si="8"/>
        <v>0</v>
      </c>
      <c r="E91" s="15">
        <f t="shared" si="9"/>
        <v>6.0759442294362496E-2</v>
      </c>
      <c r="F91" s="15">
        <f t="shared" si="10"/>
        <v>0</v>
      </c>
      <c r="G91" s="15" t="str">
        <f t="shared" si="11"/>
        <v>KONTROL İÇİNDE</v>
      </c>
    </row>
    <row r="92" spans="1:7" x14ac:dyDescent="0.35">
      <c r="A92" s="21">
        <v>46191</v>
      </c>
      <c r="B92">
        <v>7</v>
      </c>
      <c r="C92">
        <v>0</v>
      </c>
      <c r="D92" s="15">
        <f t="shared" si="8"/>
        <v>0</v>
      </c>
      <c r="E92" s="15">
        <f t="shared" si="9"/>
        <v>6.8451376069225175E-2</v>
      </c>
      <c r="F92" s="15">
        <f t="shared" si="10"/>
        <v>0</v>
      </c>
      <c r="G92" s="15" t="str">
        <f t="shared" si="11"/>
        <v>KONTROL İÇİNDE</v>
      </c>
    </row>
    <row r="93" spans="1:7" x14ac:dyDescent="0.35">
      <c r="A93" s="21">
        <v>46192</v>
      </c>
      <c r="B93">
        <v>30</v>
      </c>
      <c r="C93">
        <v>0</v>
      </c>
      <c r="D93" s="15">
        <f t="shared" si="8"/>
        <v>0</v>
      </c>
      <c r="E93" s="15">
        <f t="shared" si="9"/>
        <v>3.477692455153536E-2</v>
      </c>
      <c r="F93" s="15">
        <f t="shared" si="10"/>
        <v>0</v>
      </c>
      <c r="G93" s="15" t="str">
        <f t="shared" si="11"/>
        <v>KONTROL İÇİNDE</v>
      </c>
    </row>
    <row r="94" spans="1:7" x14ac:dyDescent="0.35">
      <c r="A94" s="21">
        <v>46195</v>
      </c>
      <c r="B94">
        <v>3</v>
      </c>
      <c r="C94">
        <v>0</v>
      </c>
      <c r="D94" s="15">
        <f t="shared" si="8"/>
        <v>0</v>
      </c>
      <c r="E94" s="15">
        <f t="shared" si="9"/>
        <v>0.10281443179679947</v>
      </c>
      <c r="F94" s="15">
        <f t="shared" si="10"/>
        <v>0</v>
      </c>
      <c r="G94" s="15" t="str">
        <f t="shared" si="11"/>
        <v>KONTROL İÇİNDE</v>
      </c>
    </row>
    <row r="95" spans="1:7" x14ac:dyDescent="0.35">
      <c r="A95" s="21">
        <v>46196</v>
      </c>
      <c r="B95">
        <v>68</v>
      </c>
      <c r="C95">
        <v>0</v>
      </c>
      <c r="D95" s="15">
        <f t="shared" si="8"/>
        <v>0</v>
      </c>
      <c r="E95" s="15">
        <f t="shared" si="9"/>
        <v>2.4211105104508815E-2</v>
      </c>
      <c r="F95" s="15">
        <f t="shared" si="10"/>
        <v>0</v>
      </c>
      <c r="G95" s="15" t="str">
        <f t="shared" si="11"/>
        <v>KONTROL İÇİNDE</v>
      </c>
    </row>
    <row r="96" spans="1:7" x14ac:dyDescent="0.35">
      <c r="A96" s="21">
        <v>46197</v>
      </c>
      <c r="B96">
        <v>12</v>
      </c>
      <c r="C96">
        <v>0</v>
      </c>
      <c r="D96" s="15">
        <f t="shared" si="8"/>
        <v>0</v>
      </c>
      <c r="E96" s="15">
        <f t="shared" si="9"/>
        <v>5.3062845037472585E-2</v>
      </c>
      <c r="F96" s="15">
        <f t="shared" si="10"/>
        <v>0</v>
      </c>
      <c r="G96" s="15" t="str">
        <f t="shared" si="11"/>
        <v>KONTROL İÇİNDE</v>
      </c>
    </row>
    <row r="97" spans="1:7" x14ac:dyDescent="0.35">
      <c r="A97" s="21">
        <v>46198</v>
      </c>
      <c r="B97">
        <v>47</v>
      </c>
      <c r="C97">
        <v>0</v>
      </c>
      <c r="D97" s="15">
        <f t="shared" si="8"/>
        <v>0</v>
      </c>
      <c r="E97" s="15">
        <f t="shared" si="9"/>
        <v>2.845029489743053E-2</v>
      </c>
      <c r="F97" s="15">
        <f t="shared" si="10"/>
        <v>0</v>
      </c>
      <c r="G97" s="15" t="str">
        <f t="shared" si="11"/>
        <v>KONTROL İÇİNDE</v>
      </c>
    </row>
    <row r="98" spans="1:7" x14ac:dyDescent="0.35">
      <c r="A98" s="21">
        <v>46199</v>
      </c>
      <c r="B98">
        <v>3</v>
      </c>
      <c r="C98">
        <v>0</v>
      </c>
      <c r="D98" s="15">
        <f t="shared" ref="D98:D129" si="12">C98/B98</f>
        <v>0</v>
      </c>
      <c r="E98" s="15">
        <f t="shared" ref="E98:E129" si="13">$D$148+3*SQRT($D$148*(1-$D$148)/B98)</f>
        <v>0.10281443179679947</v>
      </c>
      <c r="F98" s="15">
        <f t="shared" ref="F98:F129" si="14">MAX(0,$D$148-3*SQRT($D$148*(1-$D$148)/B98))</f>
        <v>0</v>
      </c>
      <c r="G98" s="15" t="str">
        <f t="shared" ref="G98:G129" si="15">IF(AND(D98&lt;=E98,D98&gt;=F98),"KONTROL İÇİNDE"," KONTROL DIŞINDA")</f>
        <v>KONTROL İÇİNDE</v>
      </c>
    </row>
    <row r="99" spans="1:7" x14ac:dyDescent="0.35">
      <c r="A99" s="21">
        <v>46203</v>
      </c>
      <c r="B99">
        <v>12</v>
      </c>
      <c r="C99">
        <v>0</v>
      </c>
      <c r="D99" s="15">
        <f t="shared" si="12"/>
        <v>0</v>
      </c>
      <c r="E99" s="15">
        <f t="shared" si="13"/>
        <v>5.3062845037472585E-2</v>
      </c>
      <c r="F99" s="15">
        <f t="shared" si="14"/>
        <v>0</v>
      </c>
      <c r="G99" s="15" t="str">
        <f t="shared" si="15"/>
        <v>KONTROL İÇİNDE</v>
      </c>
    </row>
    <row r="100" spans="1:7" x14ac:dyDescent="0.35">
      <c r="A100" s="21">
        <v>46205</v>
      </c>
      <c r="B100">
        <v>16</v>
      </c>
      <c r="C100">
        <v>0</v>
      </c>
      <c r="D100" s="15">
        <f t="shared" si="12"/>
        <v>0</v>
      </c>
      <c r="E100" s="15">
        <f t="shared" si="13"/>
        <v>4.6397396290308292E-2</v>
      </c>
      <c r="F100" s="15">
        <f t="shared" si="14"/>
        <v>0</v>
      </c>
      <c r="G100" s="15" t="str">
        <f t="shared" si="15"/>
        <v>KONTROL İÇİNDE</v>
      </c>
    </row>
    <row r="101" spans="1:7" x14ac:dyDescent="0.35">
      <c r="A101" s="21">
        <v>46206</v>
      </c>
      <c r="B101">
        <v>27</v>
      </c>
      <c r="C101">
        <v>0</v>
      </c>
      <c r="D101" s="15">
        <f t="shared" si="12"/>
        <v>0</v>
      </c>
      <c r="E101" s="15">
        <f t="shared" si="13"/>
        <v>3.6478982784363623E-2</v>
      </c>
      <c r="F101" s="15">
        <f t="shared" si="14"/>
        <v>0</v>
      </c>
      <c r="G101" s="15" t="str">
        <f t="shared" si="15"/>
        <v>KONTROL İÇİNDE</v>
      </c>
    </row>
    <row r="102" spans="1:7" x14ac:dyDescent="0.35">
      <c r="A102" s="21">
        <v>46207</v>
      </c>
      <c r="B102">
        <v>224</v>
      </c>
      <c r="C102">
        <v>0</v>
      </c>
      <c r="D102" s="15">
        <f t="shared" si="12"/>
        <v>0</v>
      </c>
      <c r="E102" s="15">
        <f t="shared" si="13"/>
        <v>1.4826513032486386E-2</v>
      </c>
      <c r="F102" s="15">
        <f t="shared" si="14"/>
        <v>0</v>
      </c>
      <c r="G102" s="15" t="str">
        <f t="shared" si="15"/>
        <v>KONTROL İÇİNDE</v>
      </c>
    </row>
    <row r="103" spans="1:7" x14ac:dyDescent="0.35">
      <c r="A103" s="21">
        <v>46209</v>
      </c>
      <c r="B103">
        <v>24</v>
      </c>
      <c r="C103">
        <v>0</v>
      </c>
      <c r="D103" s="15">
        <f t="shared" si="12"/>
        <v>0</v>
      </c>
      <c r="E103" s="15">
        <f t="shared" si="13"/>
        <v>3.8490942650456592E-2</v>
      </c>
      <c r="F103" s="15">
        <f t="shared" si="14"/>
        <v>0</v>
      </c>
      <c r="G103" s="15" t="str">
        <f t="shared" si="15"/>
        <v>KONTROL İÇİNDE</v>
      </c>
    </row>
    <row r="104" spans="1:7" x14ac:dyDescent="0.35">
      <c r="A104" s="21">
        <v>46210</v>
      </c>
      <c r="B104">
        <v>11</v>
      </c>
      <c r="C104">
        <v>0</v>
      </c>
      <c r="D104" s="15">
        <f t="shared" si="12"/>
        <v>0</v>
      </c>
      <c r="E104" s="15">
        <f t="shared" si="13"/>
        <v>5.5275095896986641E-2</v>
      </c>
      <c r="F104" s="15">
        <f t="shared" si="14"/>
        <v>0</v>
      </c>
      <c r="G104" s="15" t="str">
        <f t="shared" si="15"/>
        <v>KONTROL İÇİNDE</v>
      </c>
    </row>
    <row r="105" spans="1:7" x14ac:dyDescent="0.35">
      <c r="A105" s="21">
        <v>46211</v>
      </c>
      <c r="B105">
        <v>60</v>
      </c>
      <c r="C105">
        <v>0</v>
      </c>
      <c r="D105" s="15">
        <f t="shared" si="12"/>
        <v>0</v>
      </c>
      <c r="E105" s="15">
        <f t="shared" si="13"/>
        <v>2.556084427461237E-2</v>
      </c>
      <c r="F105" s="15">
        <f t="shared" si="14"/>
        <v>0</v>
      </c>
      <c r="G105" s="15" t="str">
        <f t="shared" si="15"/>
        <v>KONTROL İÇİNDE</v>
      </c>
    </row>
    <row r="106" spans="1:7" x14ac:dyDescent="0.35">
      <c r="A106" s="21">
        <v>46212</v>
      </c>
      <c r="B106">
        <v>41</v>
      </c>
      <c r="C106">
        <v>0</v>
      </c>
      <c r="D106" s="15">
        <f t="shared" si="12"/>
        <v>0</v>
      </c>
      <c r="E106" s="15">
        <f t="shared" si="13"/>
        <v>3.0226955312590096E-2</v>
      </c>
      <c r="F106" s="15">
        <f t="shared" si="14"/>
        <v>0</v>
      </c>
      <c r="G106" s="15" t="str">
        <f t="shared" si="15"/>
        <v>KONTROL İÇİNDE</v>
      </c>
    </row>
    <row r="107" spans="1:7" x14ac:dyDescent="0.35">
      <c r="A107" s="21">
        <v>46213</v>
      </c>
      <c r="B107">
        <v>4</v>
      </c>
      <c r="C107">
        <v>0</v>
      </c>
      <c r="D107" s="15">
        <f t="shared" si="12"/>
        <v>0</v>
      </c>
      <c r="E107" s="15">
        <f t="shared" si="13"/>
        <v>8.9483534302470885E-2</v>
      </c>
      <c r="F107" s="15">
        <f t="shared" si="14"/>
        <v>0</v>
      </c>
      <c r="G107" s="15" t="str">
        <f t="shared" si="15"/>
        <v>KONTROL İÇİNDE</v>
      </c>
    </row>
    <row r="108" spans="1:7" x14ac:dyDescent="0.35">
      <c r="A108" s="21">
        <v>46216</v>
      </c>
      <c r="B108">
        <v>3</v>
      </c>
      <c r="C108">
        <v>0</v>
      </c>
      <c r="D108" s="15">
        <f t="shared" si="12"/>
        <v>0</v>
      </c>
      <c r="E108" s="15">
        <f t="shared" si="13"/>
        <v>0.10281443179679947</v>
      </c>
      <c r="F108" s="15">
        <f t="shared" si="14"/>
        <v>0</v>
      </c>
      <c r="G108" s="15" t="str">
        <f t="shared" si="15"/>
        <v>KONTROL İÇİNDE</v>
      </c>
    </row>
    <row r="109" spans="1:7" x14ac:dyDescent="0.35">
      <c r="A109" s="21">
        <v>46217</v>
      </c>
      <c r="B109">
        <v>8</v>
      </c>
      <c r="C109">
        <v>0</v>
      </c>
      <c r="D109" s="15">
        <f t="shared" si="12"/>
        <v>0</v>
      </c>
      <c r="E109" s="15">
        <f t="shared" si="13"/>
        <v>6.4244259005224985E-2</v>
      </c>
      <c r="F109" s="15">
        <f t="shared" si="14"/>
        <v>0</v>
      </c>
      <c r="G109" s="15" t="str">
        <f t="shared" si="15"/>
        <v>KONTROL İÇİNDE</v>
      </c>
    </row>
    <row r="110" spans="1:7" x14ac:dyDescent="0.35">
      <c r="A110" s="21">
        <v>46219</v>
      </c>
      <c r="B110">
        <v>40</v>
      </c>
      <c r="C110">
        <v>0</v>
      </c>
      <c r="D110" s="15">
        <f t="shared" si="12"/>
        <v>0</v>
      </c>
      <c r="E110" s="15">
        <f t="shared" si="13"/>
        <v>3.0561324617904371E-2</v>
      </c>
      <c r="F110" s="15">
        <f t="shared" si="14"/>
        <v>0</v>
      </c>
      <c r="G110" s="15" t="str">
        <f t="shared" si="15"/>
        <v>KONTROL İÇİNDE</v>
      </c>
    </row>
    <row r="111" spans="1:7" x14ac:dyDescent="0.35">
      <c r="A111" s="21">
        <v>46220</v>
      </c>
      <c r="B111">
        <v>9</v>
      </c>
      <c r="C111">
        <v>0</v>
      </c>
      <c r="D111" s="15">
        <f t="shared" si="12"/>
        <v>0</v>
      </c>
      <c r="E111" s="15">
        <f t="shared" si="13"/>
        <v>6.0759442294362496E-2</v>
      </c>
      <c r="F111" s="15">
        <f t="shared" si="14"/>
        <v>0</v>
      </c>
      <c r="G111" s="15" t="str">
        <f t="shared" si="15"/>
        <v>KONTROL İÇİNDE</v>
      </c>
    </row>
    <row r="112" spans="1:7" x14ac:dyDescent="0.35">
      <c r="A112" s="21">
        <v>46221</v>
      </c>
      <c r="B112">
        <v>3</v>
      </c>
      <c r="C112">
        <v>0</v>
      </c>
      <c r="D112" s="15">
        <f t="shared" si="12"/>
        <v>0</v>
      </c>
      <c r="E112" s="15">
        <f t="shared" si="13"/>
        <v>0.10281443179679947</v>
      </c>
      <c r="F112" s="15">
        <f t="shared" si="14"/>
        <v>0</v>
      </c>
      <c r="G112" s="15" t="str">
        <f t="shared" si="15"/>
        <v>KONTROL İÇİNDE</v>
      </c>
    </row>
    <row r="113" spans="1:7" x14ac:dyDescent="0.35">
      <c r="A113" s="21">
        <v>46223</v>
      </c>
      <c r="B113">
        <v>42</v>
      </c>
      <c r="C113">
        <v>0</v>
      </c>
      <c r="D113" s="15">
        <f t="shared" si="12"/>
        <v>0</v>
      </c>
      <c r="E113" s="15">
        <f t="shared" si="13"/>
        <v>2.9904600006968558E-2</v>
      </c>
      <c r="F113" s="15">
        <f t="shared" si="14"/>
        <v>0</v>
      </c>
      <c r="G113" s="15" t="str">
        <f t="shared" si="15"/>
        <v>KONTROL İÇİNDE</v>
      </c>
    </row>
    <row r="114" spans="1:7" x14ac:dyDescent="0.35">
      <c r="A114" s="21">
        <v>46224</v>
      </c>
      <c r="B114">
        <v>172</v>
      </c>
      <c r="C114">
        <v>0</v>
      </c>
      <c r="D114" s="15">
        <f t="shared" si="12"/>
        <v>0</v>
      </c>
      <c r="E114" s="15">
        <f t="shared" si="13"/>
        <v>1.6452407174161875E-2</v>
      </c>
      <c r="F114" s="15">
        <f t="shared" si="14"/>
        <v>0</v>
      </c>
      <c r="G114" s="15" t="str">
        <f t="shared" si="15"/>
        <v>KONTROL İÇİNDE</v>
      </c>
    </row>
    <row r="115" spans="1:7" x14ac:dyDescent="0.35">
      <c r="A115" s="21">
        <v>46225</v>
      </c>
      <c r="B115">
        <v>4</v>
      </c>
      <c r="C115">
        <v>0</v>
      </c>
      <c r="D115" s="15">
        <f t="shared" si="12"/>
        <v>0</v>
      </c>
      <c r="E115" s="15">
        <f t="shared" si="13"/>
        <v>8.9483534302470885E-2</v>
      </c>
      <c r="F115" s="15">
        <f t="shared" si="14"/>
        <v>0</v>
      </c>
      <c r="G115" s="15" t="str">
        <f t="shared" si="15"/>
        <v>KONTROL İÇİNDE</v>
      </c>
    </row>
    <row r="116" spans="1:7" x14ac:dyDescent="0.35">
      <c r="A116" s="21">
        <v>46226</v>
      </c>
      <c r="B116">
        <v>24</v>
      </c>
      <c r="C116">
        <v>0</v>
      </c>
      <c r="D116" s="15">
        <f t="shared" si="12"/>
        <v>0</v>
      </c>
      <c r="E116" s="15">
        <f t="shared" si="13"/>
        <v>3.8490942650456592E-2</v>
      </c>
      <c r="F116" s="15">
        <f t="shared" si="14"/>
        <v>0</v>
      </c>
      <c r="G116" s="15" t="str">
        <f t="shared" si="15"/>
        <v>KONTROL İÇİNDE</v>
      </c>
    </row>
    <row r="117" spans="1:7" x14ac:dyDescent="0.35">
      <c r="A117" s="21">
        <v>46227</v>
      </c>
      <c r="B117">
        <v>22</v>
      </c>
      <c r="C117">
        <v>0</v>
      </c>
      <c r="D117" s="15">
        <f t="shared" si="12"/>
        <v>0</v>
      </c>
      <c r="E117" s="15">
        <f t="shared" si="13"/>
        <v>4.0055240234904747E-2</v>
      </c>
      <c r="F117" s="15">
        <f t="shared" si="14"/>
        <v>0</v>
      </c>
      <c r="G117" s="15" t="str">
        <f t="shared" si="15"/>
        <v>KONTROL İÇİNDE</v>
      </c>
    </row>
    <row r="118" spans="1:7" x14ac:dyDescent="0.35">
      <c r="A118" s="21">
        <v>46228</v>
      </c>
      <c r="B118">
        <v>2</v>
      </c>
      <c r="C118">
        <v>0</v>
      </c>
      <c r="D118" s="15">
        <f t="shared" si="12"/>
        <v>0</v>
      </c>
      <c r="E118" s="15">
        <f t="shared" si="13"/>
        <v>0.12517725973230426</v>
      </c>
      <c r="F118" s="15">
        <f t="shared" si="14"/>
        <v>0</v>
      </c>
      <c r="G118" s="15" t="str">
        <f t="shared" si="15"/>
        <v>KONTROL İÇİNDE</v>
      </c>
    </row>
    <row r="119" spans="1:7" x14ac:dyDescent="0.35">
      <c r="A119" s="21">
        <v>46229</v>
      </c>
      <c r="B119">
        <v>1</v>
      </c>
      <c r="C119">
        <v>0</v>
      </c>
      <c r="D119" s="15">
        <f t="shared" si="12"/>
        <v>0</v>
      </c>
      <c r="E119" s="15">
        <f t="shared" si="13"/>
        <v>0.17565581032679606</v>
      </c>
      <c r="F119" s="15">
        <f t="shared" si="14"/>
        <v>0</v>
      </c>
      <c r="G119" s="15" t="str">
        <f t="shared" si="15"/>
        <v>KONTROL İÇİNDE</v>
      </c>
    </row>
    <row r="120" spans="1:7" x14ac:dyDescent="0.35">
      <c r="A120" s="21">
        <v>46230</v>
      </c>
      <c r="B120">
        <v>30</v>
      </c>
      <c r="C120">
        <v>0</v>
      </c>
      <c r="D120" s="15">
        <f t="shared" si="12"/>
        <v>0</v>
      </c>
      <c r="E120" s="15">
        <f t="shared" si="13"/>
        <v>3.477692455153536E-2</v>
      </c>
      <c r="F120" s="15">
        <f t="shared" si="14"/>
        <v>0</v>
      </c>
      <c r="G120" s="15" t="str">
        <f t="shared" si="15"/>
        <v>KONTROL İÇİNDE</v>
      </c>
    </row>
    <row r="121" spans="1:7" x14ac:dyDescent="0.35">
      <c r="A121" s="21">
        <v>46231</v>
      </c>
      <c r="B121">
        <v>7</v>
      </c>
      <c r="C121">
        <v>0</v>
      </c>
      <c r="D121" s="15">
        <f t="shared" si="12"/>
        <v>0</v>
      </c>
      <c r="E121" s="15">
        <f t="shared" si="13"/>
        <v>6.8451376069225175E-2</v>
      </c>
      <c r="F121" s="15">
        <f t="shared" si="14"/>
        <v>0</v>
      </c>
      <c r="G121" s="15" t="str">
        <f t="shared" si="15"/>
        <v>KONTROL İÇİNDE</v>
      </c>
    </row>
    <row r="122" spans="1:7" x14ac:dyDescent="0.35">
      <c r="A122" s="21">
        <v>46232</v>
      </c>
      <c r="B122">
        <v>20</v>
      </c>
      <c r="C122">
        <v>0</v>
      </c>
      <c r="D122" s="15">
        <f t="shared" si="12"/>
        <v>0</v>
      </c>
      <c r="E122" s="15">
        <f t="shared" si="13"/>
        <v>4.1848671671398989E-2</v>
      </c>
      <c r="F122" s="15">
        <f t="shared" si="14"/>
        <v>0</v>
      </c>
      <c r="G122" s="15" t="str">
        <f t="shared" si="15"/>
        <v>KONTROL İÇİNDE</v>
      </c>
    </row>
    <row r="123" spans="1:7" x14ac:dyDescent="0.35">
      <c r="A123" s="21">
        <v>46233</v>
      </c>
      <c r="B123">
        <v>20</v>
      </c>
      <c r="C123">
        <v>0</v>
      </c>
      <c r="D123" s="15">
        <f t="shared" si="12"/>
        <v>0</v>
      </c>
      <c r="E123" s="15">
        <f t="shared" si="13"/>
        <v>4.1848671671398989E-2</v>
      </c>
      <c r="F123" s="15">
        <f t="shared" si="14"/>
        <v>0</v>
      </c>
      <c r="G123" s="15" t="str">
        <f t="shared" si="15"/>
        <v>KONTROL İÇİNDE</v>
      </c>
    </row>
    <row r="124" spans="1:7" x14ac:dyDescent="0.35">
      <c r="A124" s="21">
        <v>46234</v>
      </c>
      <c r="B124">
        <v>36</v>
      </c>
      <c r="C124">
        <v>0</v>
      </c>
      <c r="D124" s="15">
        <f t="shared" si="12"/>
        <v>0</v>
      </c>
      <c r="E124" s="15">
        <f t="shared" si="13"/>
        <v>3.2035350286254094E-2</v>
      </c>
      <c r="F124" s="15">
        <f t="shared" si="14"/>
        <v>0</v>
      </c>
      <c r="G124" s="15" t="str">
        <f t="shared" si="15"/>
        <v>KONTROL İÇİNDE</v>
      </c>
    </row>
    <row r="125" spans="1:7" x14ac:dyDescent="0.35">
      <c r="A125" s="21">
        <v>46237</v>
      </c>
      <c r="B125">
        <v>4</v>
      </c>
      <c r="C125">
        <v>0</v>
      </c>
      <c r="D125" s="15">
        <f t="shared" si="12"/>
        <v>0</v>
      </c>
      <c r="E125" s="15">
        <f t="shared" si="13"/>
        <v>8.9483534302470885E-2</v>
      </c>
      <c r="F125" s="15">
        <f t="shared" si="14"/>
        <v>0</v>
      </c>
      <c r="G125" s="15" t="str">
        <f t="shared" si="15"/>
        <v>KONTROL İÇİNDE</v>
      </c>
    </row>
    <row r="126" spans="1:7" x14ac:dyDescent="0.35">
      <c r="A126" s="21">
        <v>46238</v>
      </c>
      <c r="B126">
        <v>8</v>
      </c>
      <c r="C126">
        <v>0</v>
      </c>
      <c r="D126" s="15">
        <f t="shared" si="12"/>
        <v>0</v>
      </c>
      <c r="E126" s="15">
        <f t="shared" si="13"/>
        <v>6.4244259005224985E-2</v>
      </c>
      <c r="F126" s="15">
        <f t="shared" si="14"/>
        <v>0</v>
      </c>
      <c r="G126" s="15" t="str">
        <f t="shared" si="15"/>
        <v>KONTROL İÇİNDE</v>
      </c>
    </row>
    <row r="127" spans="1:7" x14ac:dyDescent="0.35">
      <c r="A127" s="21">
        <v>46239</v>
      </c>
      <c r="B127">
        <v>168</v>
      </c>
      <c r="C127">
        <v>0</v>
      </c>
      <c r="D127" s="15">
        <f t="shared" si="12"/>
        <v>0</v>
      </c>
      <c r="E127" s="15">
        <f t="shared" si="13"/>
        <v>1.6607929142557126E-2</v>
      </c>
      <c r="F127" s="15">
        <f t="shared" si="14"/>
        <v>0</v>
      </c>
      <c r="G127" s="15" t="str">
        <f t="shared" si="15"/>
        <v>KONTROL İÇİNDE</v>
      </c>
    </row>
    <row r="128" spans="1:7" x14ac:dyDescent="0.35">
      <c r="A128" s="21">
        <v>46240</v>
      </c>
      <c r="B128">
        <v>73</v>
      </c>
      <c r="C128">
        <v>0</v>
      </c>
      <c r="D128" s="15">
        <f t="shared" si="12"/>
        <v>0</v>
      </c>
      <c r="E128" s="15">
        <f t="shared" si="13"/>
        <v>2.3482662362922971E-2</v>
      </c>
      <c r="F128" s="15">
        <f t="shared" si="14"/>
        <v>0</v>
      </c>
      <c r="G128" s="15" t="str">
        <f t="shared" si="15"/>
        <v>KONTROL İÇİNDE</v>
      </c>
    </row>
    <row r="129" spans="1:7" x14ac:dyDescent="0.35">
      <c r="A129" s="21">
        <v>46241</v>
      </c>
      <c r="B129">
        <v>34</v>
      </c>
      <c r="C129">
        <v>0</v>
      </c>
      <c r="D129" s="15">
        <f t="shared" si="12"/>
        <v>0</v>
      </c>
      <c r="E129" s="15">
        <f t="shared" si="13"/>
        <v>3.2868105111508714E-2</v>
      </c>
      <c r="F129" s="15">
        <f t="shared" si="14"/>
        <v>0</v>
      </c>
      <c r="G129" s="15" t="str">
        <f t="shared" si="15"/>
        <v>KONTROL İÇİNDE</v>
      </c>
    </row>
    <row r="130" spans="1:7" x14ac:dyDescent="0.35">
      <c r="A130" s="21">
        <v>46242</v>
      </c>
      <c r="B130">
        <v>1</v>
      </c>
      <c r="C130">
        <v>0</v>
      </c>
      <c r="D130" s="15">
        <f t="shared" ref="D130:D148" si="16">C130/B130</f>
        <v>0</v>
      </c>
      <c r="E130" s="15">
        <f t="shared" ref="E130:E147" si="17">$D$148+3*SQRT($D$148*(1-$D$148)/B130)</f>
        <v>0.17565581032679606</v>
      </c>
      <c r="F130" s="15">
        <f t="shared" ref="F130:F147" si="18">MAX(0,$D$148-3*SQRT($D$148*(1-$D$148)/B130))</f>
        <v>0</v>
      </c>
      <c r="G130" s="15" t="str">
        <f t="shared" ref="G130:G147" si="19">IF(AND(D130&lt;=E130,D130&gt;=F130),"KONTROL İÇİNDE"," KONTROL DIŞINDA")</f>
        <v>KONTROL İÇİNDE</v>
      </c>
    </row>
    <row r="131" spans="1:7" x14ac:dyDescent="0.35">
      <c r="A131" s="21">
        <v>46244</v>
      </c>
      <c r="B131">
        <v>22</v>
      </c>
      <c r="C131">
        <v>0</v>
      </c>
      <c r="D131" s="15">
        <f t="shared" si="16"/>
        <v>0</v>
      </c>
      <c r="E131" s="15">
        <f t="shared" si="17"/>
        <v>4.0055240234904747E-2</v>
      </c>
      <c r="F131" s="15">
        <f t="shared" si="18"/>
        <v>0</v>
      </c>
      <c r="G131" s="15" t="str">
        <f t="shared" si="19"/>
        <v>KONTROL İÇİNDE</v>
      </c>
    </row>
    <row r="132" spans="1:7" x14ac:dyDescent="0.35">
      <c r="A132" s="21">
        <v>46245</v>
      </c>
      <c r="B132">
        <v>35</v>
      </c>
      <c r="C132">
        <v>0</v>
      </c>
      <c r="D132" s="15">
        <f t="shared" si="16"/>
        <v>0</v>
      </c>
      <c r="E132" s="15">
        <f t="shared" si="17"/>
        <v>3.2442804566785124E-2</v>
      </c>
      <c r="F132" s="15">
        <f t="shared" si="18"/>
        <v>0</v>
      </c>
      <c r="G132" s="15" t="str">
        <f t="shared" si="19"/>
        <v>KONTROL İÇİNDE</v>
      </c>
    </row>
    <row r="133" spans="1:7" x14ac:dyDescent="0.35">
      <c r="A133" s="21">
        <v>46246</v>
      </c>
      <c r="B133">
        <v>175</v>
      </c>
      <c r="C133">
        <v>0</v>
      </c>
      <c r="D133" s="15">
        <f t="shared" si="16"/>
        <v>0</v>
      </c>
      <c r="E133" s="15">
        <f t="shared" si="17"/>
        <v>1.6339281836361592E-2</v>
      </c>
      <c r="F133" s="15">
        <f t="shared" si="18"/>
        <v>0</v>
      </c>
      <c r="G133" s="15" t="str">
        <f t="shared" si="19"/>
        <v>KONTROL İÇİNDE</v>
      </c>
    </row>
    <row r="134" spans="1:7" x14ac:dyDescent="0.35">
      <c r="A134" s="21">
        <v>46247</v>
      </c>
      <c r="B134">
        <v>9</v>
      </c>
      <c r="C134">
        <v>0</v>
      </c>
      <c r="D134" s="15">
        <f t="shared" si="16"/>
        <v>0</v>
      </c>
      <c r="E134" s="15">
        <f t="shared" si="17"/>
        <v>6.0759442294362496E-2</v>
      </c>
      <c r="F134" s="15">
        <f t="shared" si="18"/>
        <v>0</v>
      </c>
      <c r="G134" s="15" t="str">
        <f t="shared" si="19"/>
        <v>KONTROL İÇİNDE</v>
      </c>
    </row>
    <row r="135" spans="1:7" x14ac:dyDescent="0.35">
      <c r="A135" s="21">
        <v>46248</v>
      </c>
      <c r="B135">
        <v>30</v>
      </c>
      <c r="C135">
        <v>0</v>
      </c>
      <c r="D135" s="15">
        <f t="shared" si="16"/>
        <v>0</v>
      </c>
      <c r="E135" s="15">
        <f t="shared" si="17"/>
        <v>3.477692455153536E-2</v>
      </c>
      <c r="F135" s="15">
        <f t="shared" si="18"/>
        <v>0</v>
      </c>
      <c r="G135" s="15" t="str">
        <f t="shared" si="19"/>
        <v>KONTROL İÇİNDE</v>
      </c>
    </row>
    <row r="136" spans="1:7" x14ac:dyDescent="0.35">
      <c r="A136" s="21">
        <v>46250</v>
      </c>
      <c r="B136">
        <v>2</v>
      </c>
      <c r="C136">
        <v>0</v>
      </c>
      <c r="D136" s="15">
        <f t="shared" si="16"/>
        <v>0</v>
      </c>
      <c r="E136" s="15">
        <f t="shared" si="17"/>
        <v>0.12517725973230426</v>
      </c>
      <c r="F136" s="15">
        <f t="shared" si="18"/>
        <v>0</v>
      </c>
      <c r="G136" s="15" t="str">
        <f t="shared" si="19"/>
        <v>KONTROL İÇİNDE</v>
      </c>
    </row>
    <row r="137" spans="1:7" x14ac:dyDescent="0.35">
      <c r="A137" s="21">
        <v>46251</v>
      </c>
      <c r="B137">
        <v>66</v>
      </c>
      <c r="C137">
        <v>0</v>
      </c>
      <c r="D137" s="15">
        <f t="shared" si="16"/>
        <v>0</v>
      </c>
      <c r="E137" s="15">
        <f t="shared" si="17"/>
        <v>2.4525406151979283E-2</v>
      </c>
      <c r="F137" s="15">
        <f t="shared" si="18"/>
        <v>0</v>
      </c>
      <c r="G137" s="15" t="str">
        <f t="shared" si="19"/>
        <v>KONTROL İÇİNDE</v>
      </c>
    </row>
    <row r="138" spans="1:7" x14ac:dyDescent="0.35">
      <c r="A138" s="21">
        <v>46252</v>
      </c>
      <c r="B138">
        <v>47</v>
      </c>
      <c r="C138">
        <v>0</v>
      </c>
      <c r="D138" s="15">
        <f t="shared" si="16"/>
        <v>0</v>
      </c>
      <c r="E138" s="15">
        <f t="shared" si="17"/>
        <v>2.845029489743053E-2</v>
      </c>
      <c r="F138" s="15">
        <f t="shared" si="18"/>
        <v>0</v>
      </c>
      <c r="G138" s="15" t="str">
        <f t="shared" si="19"/>
        <v>KONTROL İÇİNDE</v>
      </c>
    </row>
    <row r="139" spans="1:7" x14ac:dyDescent="0.35">
      <c r="A139" s="21">
        <v>46253</v>
      </c>
      <c r="B139">
        <v>21</v>
      </c>
      <c r="C139">
        <v>0</v>
      </c>
      <c r="D139" s="15">
        <f t="shared" si="16"/>
        <v>0</v>
      </c>
      <c r="E139" s="15">
        <f t="shared" si="17"/>
        <v>4.0919922819869364E-2</v>
      </c>
      <c r="F139" s="15">
        <f t="shared" si="18"/>
        <v>0</v>
      </c>
      <c r="G139" s="15" t="str">
        <f t="shared" si="19"/>
        <v>KONTROL İÇİNDE</v>
      </c>
    </row>
    <row r="140" spans="1:7" x14ac:dyDescent="0.35">
      <c r="A140" s="21">
        <v>46254</v>
      </c>
      <c r="B140">
        <v>25</v>
      </c>
      <c r="C140">
        <v>0</v>
      </c>
      <c r="D140" s="15">
        <f t="shared" si="16"/>
        <v>0</v>
      </c>
      <c r="E140" s="15">
        <f t="shared" si="17"/>
        <v>3.778016868787578E-2</v>
      </c>
      <c r="F140" s="15">
        <f t="shared" si="18"/>
        <v>0</v>
      </c>
      <c r="G140" s="15" t="str">
        <f t="shared" si="19"/>
        <v>KONTROL İÇİNDE</v>
      </c>
    </row>
    <row r="141" spans="1:7" x14ac:dyDescent="0.35">
      <c r="A141" s="21">
        <v>46255</v>
      </c>
      <c r="B141">
        <v>209</v>
      </c>
      <c r="C141">
        <v>0</v>
      </c>
      <c r="D141" s="15">
        <f t="shared" si="16"/>
        <v>0</v>
      </c>
      <c r="E141" s="15">
        <f t="shared" si="17"/>
        <v>1.5232580220202796E-2</v>
      </c>
      <c r="F141" s="15">
        <f t="shared" si="18"/>
        <v>0</v>
      </c>
      <c r="G141" s="15" t="str">
        <f t="shared" si="19"/>
        <v>KONTROL İÇİNDE</v>
      </c>
    </row>
    <row r="142" spans="1:7" x14ac:dyDescent="0.35">
      <c r="A142" s="21">
        <v>46256</v>
      </c>
      <c r="B142">
        <v>23</v>
      </c>
      <c r="C142">
        <v>0</v>
      </c>
      <c r="D142" s="15">
        <f t="shared" si="16"/>
        <v>0</v>
      </c>
      <c r="E142" s="15">
        <f t="shared" si="17"/>
        <v>3.9247581564499062E-2</v>
      </c>
      <c r="F142" s="15">
        <f t="shared" si="18"/>
        <v>0</v>
      </c>
      <c r="G142" s="15" t="str">
        <f t="shared" si="19"/>
        <v>KONTROL İÇİNDE</v>
      </c>
    </row>
    <row r="143" spans="1:7" x14ac:dyDescent="0.35">
      <c r="A143" s="21">
        <v>46258</v>
      </c>
      <c r="B143">
        <v>42</v>
      </c>
      <c r="C143">
        <v>0</v>
      </c>
      <c r="D143" s="15">
        <f t="shared" si="16"/>
        <v>0</v>
      </c>
      <c r="E143" s="15">
        <f t="shared" si="17"/>
        <v>2.9904600006968558E-2</v>
      </c>
      <c r="F143" s="15">
        <f t="shared" si="18"/>
        <v>0</v>
      </c>
      <c r="G143" s="15" t="str">
        <f t="shared" si="19"/>
        <v>KONTROL İÇİNDE</v>
      </c>
    </row>
    <row r="144" spans="1:7" x14ac:dyDescent="0.35">
      <c r="A144" s="21">
        <v>46259</v>
      </c>
      <c r="B144">
        <v>17</v>
      </c>
      <c r="C144">
        <v>0</v>
      </c>
      <c r="D144" s="15">
        <f t="shared" si="16"/>
        <v>0</v>
      </c>
      <c r="E144" s="15">
        <f t="shared" si="17"/>
        <v>4.5110951930871938E-2</v>
      </c>
      <c r="F144" s="15">
        <f t="shared" si="18"/>
        <v>0</v>
      </c>
      <c r="G144" s="15" t="str">
        <f t="shared" si="19"/>
        <v>KONTROL İÇİNDE</v>
      </c>
    </row>
    <row r="145" spans="1:7" x14ac:dyDescent="0.35">
      <c r="A145" s="21">
        <v>46260</v>
      </c>
      <c r="B145">
        <v>46</v>
      </c>
      <c r="C145">
        <v>0</v>
      </c>
      <c r="D145" s="15">
        <f t="shared" si="16"/>
        <v>0</v>
      </c>
      <c r="E145" s="15">
        <f t="shared" si="17"/>
        <v>2.8722076164838194E-2</v>
      </c>
      <c r="F145" s="15">
        <f t="shared" si="18"/>
        <v>0</v>
      </c>
      <c r="G145" s="15" t="str">
        <f t="shared" si="19"/>
        <v>KONTROL İÇİNDE</v>
      </c>
    </row>
    <row r="146" spans="1:7" x14ac:dyDescent="0.35">
      <c r="A146" s="21">
        <v>46261</v>
      </c>
      <c r="B146">
        <v>160</v>
      </c>
      <c r="C146">
        <v>0</v>
      </c>
      <c r="D146" s="15">
        <f t="shared" si="16"/>
        <v>0</v>
      </c>
      <c r="E146" s="15">
        <f t="shared" si="17"/>
        <v>1.6936291448025033E-2</v>
      </c>
      <c r="F146" s="15">
        <f t="shared" si="18"/>
        <v>0</v>
      </c>
      <c r="G146" s="15" t="str">
        <f t="shared" si="19"/>
        <v>KONTROL İÇİNDE</v>
      </c>
    </row>
    <row r="147" spans="1:7" x14ac:dyDescent="0.35">
      <c r="A147" s="21">
        <v>46262</v>
      </c>
      <c r="B147">
        <v>57</v>
      </c>
      <c r="C147">
        <v>0</v>
      </c>
      <c r="D147" s="15">
        <f t="shared" si="16"/>
        <v>0</v>
      </c>
      <c r="E147" s="15">
        <f t="shared" si="17"/>
        <v>2.6138851853377495E-2</v>
      </c>
      <c r="F147" s="15">
        <f t="shared" si="18"/>
        <v>0</v>
      </c>
      <c r="G147" s="15" t="str">
        <f t="shared" si="19"/>
        <v>KONTROL İÇİNDE</v>
      </c>
    </row>
    <row r="148" spans="1:7" x14ac:dyDescent="0.35">
      <c r="B148">
        <f>SUM(B2:B147)</f>
        <v>4530</v>
      </c>
      <c r="C148">
        <f>SUM(C2:C147)</f>
        <v>15</v>
      </c>
      <c r="D148" s="15">
        <f t="shared" si="16"/>
        <v>3.3112582781456954E-3</v>
      </c>
    </row>
  </sheetData>
  <conditionalFormatting sqref="G1:G1048576">
    <cfRule type="cellIs" dxfId="2" priority="1" operator="equal">
      <formula>$G$11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EP148"/>
  <sheetViews>
    <sheetView zoomScale="62" workbookViewId="0">
      <selection sqref="A1:XFD1048576"/>
    </sheetView>
  </sheetViews>
  <sheetFormatPr defaultRowHeight="14.5" x14ac:dyDescent="0.35"/>
  <cols>
    <col min="1" max="1" width="26.6328125" customWidth="1"/>
    <col min="2" max="2" width="23.26953125" customWidth="1"/>
    <col min="3" max="3" width="14.1796875" customWidth="1"/>
    <col min="7" max="7" width="21.90625" customWidth="1"/>
  </cols>
  <sheetData>
    <row r="1" spans="1:16370" ht="42" customHeight="1" x14ac:dyDescent="0.35">
      <c r="A1" s="19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3" t="s">
        <v>6</v>
      </c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</row>
    <row r="2" spans="1:16370" s="15" customFormat="1" ht="13.5" customHeight="1" x14ac:dyDescent="0.35">
      <c r="A2" s="21">
        <v>46029</v>
      </c>
      <c r="B2">
        <v>500</v>
      </c>
      <c r="C2">
        <v>5</v>
      </c>
      <c r="D2">
        <f t="shared" ref="D2:D31" si="0">C2/B2</f>
        <v>0.01</v>
      </c>
      <c r="E2">
        <f t="shared" ref="E2:E30" si="1">$D$31+3*SQRT($D$31*(1-$D$31)/B2)</f>
        <v>4.292905166930485E-2</v>
      </c>
      <c r="F2" s="15">
        <f t="shared" ref="F2:F30" si="2">MAX(0,$D$31-3*SQRT($D$31*(1-$D$31)/B2))</f>
        <v>2.8151449624657446E-3</v>
      </c>
      <c r="G2" s="15" t="str">
        <f t="shared" ref="G2:G30" si="3">IF(AND(D2&lt;=E2,D2&gt;=F2),"KONTROL İÇİNDE"," KONTROL DIŞINDA")</f>
        <v>KONTROL İÇİNDE</v>
      </c>
    </row>
    <row r="3" spans="1:16370" x14ac:dyDescent="0.35">
      <c r="A3" s="21">
        <v>46030</v>
      </c>
      <c r="B3">
        <v>500</v>
      </c>
      <c r="C3">
        <v>2</v>
      </c>
      <c r="D3">
        <f t="shared" si="0"/>
        <v>4.0000000000000001E-3</v>
      </c>
      <c r="E3">
        <f t="shared" si="1"/>
        <v>4.292905166930485E-2</v>
      </c>
      <c r="F3" s="15">
        <f t="shared" si="2"/>
        <v>2.8151449624657446E-3</v>
      </c>
      <c r="G3" s="15" t="str">
        <f t="shared" si="3"/>
        <v>KONTROL İÇİNDE</v>
      </c>
    </row>
    <row r="4" spans="1:16370" x14ac:dyDescent="0.35">
      <c r="A4" s="21">
        <v>46031</v>
      </c>
      <c r="B4">
        <v>500</v>
      </c>
      <c r="C4">
        <v>3</v>
      </c>
      <c r="D4">
        <f t="shared" si="0"/>
        <v>6.0000000000000001E-3</v>
      </c>
      <c r="E4">
        <f t="shared" si="1"/>
        <v>4.292905166930485E-2</v>
      </c>
      <c r="F4" s="15">
        <f t="shared" si="2"/>
        <v>2.8151449624657446E-3</v>
      </c>
      <c r="G4" s="15" t="str">
        <f t="shared" si="3"/>
        <v>KONTROL İÇİNDE</v>
      </c>
    </row>
    <row r="5" spans="1:16370" x14ac:dyDescent="0.35">
      <c r="A5" s="21">
        <v>46035</v>
      </c>
      <c r="B5">
        <v>300</v>
      </c>
      <c r="C5">
        <v>3</v>
      </c>
      <c r="D5">
        <f t="shared" si="0"/>
        <v>0.01</v>
      </c>
      <c r="E5">
        <f t="shared" si="1"/>
        <v>4.8765513753702944E-2</v>
      </c>
      <c r="F5" s="15">
        <f t="shared" si="2"/>
        <v>0</v>
      </c>
      <c r="G5" s="15" t="str">
        <f t="shared" si="3"/>
        <v>KONTROL İÇİNDE</v>
      </c>
    </row>
    <row r="6" spans="1:16370" x14ac:dyDescent="0.35">
      <c r="A6" s="21">
        <v>46037</v>
      </c>
      <c r="B6">
        <v>500</v>
      </c>
      <c r="C6">
        <v>3</v>
      </c>
      <c r="D6">
        <f t="shared" si="0"/>
        <v>6.0000000000000001E-3</v>
      </c>
      <c r="E6">
        <f t="shared" si="1"/>
        <v>4.292905166930485E-2</v>
      </c>
      <c r="F6" s="15">
        <f t="shared" si="2"/>
        <v>2.8151449624657446E-3</v>
      </c>
      <c r="G6" s="15" t="str">
        <f t="shared" si="3"/>
        <v>KONTROL İÇİNDE</v>
      </c>
    </row>
    <row r="7" spans="1:16370" x14ac:dyDescent="0.35">
      <c r="A7" s="21">
        <v>46038</v>
      </c>
      <c r="B7">
        <v>400</v>
      </c>
      <c r="C7">
        <v>3</v>
      </c>
      <c r="D7">
        <f t="shared" si="0"/>
        <v>7.4999999999999997E-3</v>
      </c>
      <c r="E7">
        <f t="shared" si="1"/>
        <v>4.5296453875779547E-2</v>
      </c>
      <c r="F7" s="15">
        <f t="shared" si="2"/>
        <v>4.4774275599105198E-4</v>
      </c>
      <c r="G7" s="15" t="str">
        <f t="shared" si="3"/>
        <v>KONTROL İÇİNDE</v>
      </c>
    </row>
    <row r="8" spans="1:16370" x14ac:dyDescent="0.35">
      <c r="A8" s="21">
        <v>46041</v>
      </c>
      <c r="B8">
        <v>199</v>
      </c>
      <c r="C8">
        <v>3</v>
      </c>
      <c r="D8">
        <f t="shared" si="0"/>
        <v>1.507537688442211E-2</v>
      </c>
      <c r="E8">
        <f t="shared" si="1"/>
        <v>5.4664506697551712E-2</v>
      </c>
      <c r="F8" s="15">
        <f t="shared" si="2"/>
        <v>0</v>
      </c>
      <c r="G8" s="15" t="str">
        <f t="shared" si="3"/>
        <v>KONTROL İÇİNDE</v>
      </c>
    </row>
    <row r="9" spans="1:16370" x14ac:dyDescent="0.35">
      <c r="A9" s="21">
        <v>46043</v>
      </c>
      <c r="B9">
        <v>300</v>
      </c>
      <c r="C9">
        <v>2</v>
      </c>
      <c r="D9">
        <f t="shared" si="0"/>
        <v>6.6666666666666671E-3</v>
      </c>
      <c r="E9">
        <f t="shared" si="1"/>
        <v>4.8765513753702944E-2</v>
      </c>
      <c r="F9" s="15">
        <f t="shared" si="2"/>
        <v>0</v>
      </c>
      <c r="G9" s="15" t="str">
        <f t="shared" si="3"/>
        <v>KONTROL İÇİNDE</v>
      </c>
    </row>
    <row r="10" spans="1:16370" x14ac:dyDescent="0.35">
      <c r="A10" s="21">
        <v>46045</v>
      </c>
      <c r="B10">
        <v>300</v>
      </c>
      <c r="C10">
        <v>2</v>
      </c>
      <c r="D10">
        <f t="shared" si="0"/>
        <v>6.6666666666666671E-3</v>
      </c>
      <c r="E10">
        <f t="shared" si="1"/>
        <v>4.8765513753702944E-2</v>
      </c>
      <c r="F10" s="15">
        <f t="shared" si="2"/>
        <v>0</v>
      </c>
      <c r="G10" s="15" t="str">
        <f t="shared" si="3"/>
        <v>KONTROL İÇİNDE</v>
      </c>
      <c r="H10" t="s">
        <v>64</v>
      </c>
    </row>
    <row r="11" spans="1:16370" x14ac:dyDescent="0.35">
      <c r="A11" s="21">
        <v>46048</v>
      </c>
      <c r="B11">
        <v>200</v>
      </c>
      <c r="C11">
        <v>2</v>
      </c>
      <c r="D11">
        <f t="shared" si="0"/>
        <v>0.01</v>
      </c>
      <c r="E11">
        <f t="shared" si="1"/>
        <v>5.4584926076164254E-2</v>
      </c>
      <c r="F11" s="15">
        <f t="shared" si="2"/>
        <v>0</v>
      </c>
      <c r="G11" s="15" t="str">
        <f t="shared" si="3"/>
        <v>KONTROL İÇİNDE</v>
      </c>
    </row>
    <row r="12" spans="1:16370" x14ac:dyDescent="0.35">
      <c r="A12" s="21">
        <v>46050</v>
      </c>
      <c r="B12">
        <v>300</v>
      </c>
      <c r="C12">
        <v>6</v>
      </c>
      <c r="D12">
        <f t="shared" si="0"/>
        <v>0.02</v>
      </c>
      <c r="E12">
        <f t="shared" si="1"/>
        <v>4.8765513753702944E-2</v>
      </c>
      <c r="F12" s="15">
        <f t="shared" si="2"/>
        <v>0</v>
      </c>
      <c r="G12" s="15" t="str">
        <f t="shared" si="3"/>
        <v>KONTROL İÇİNDE</v>
      </c>
    </row>
    <row r="13" spans="1:16370" x14ac:dyDescent="0.35">
      <c r="A13" s="21">
        <v>46052</v>
      </c>
      <c r="B13">
        <v>399</v>
      </c>
      <c r="C13">
        <v>7</v>
      </c>
      <c r="D13">
        <f t="shared" si="0"/>
        <v>1.7543859649122806E-2</v>
      </c>
      <c r="E13">
        <f t="shared" si="1"/>
        <v>4.5324536987046735E-2</v>
      </c>
      <c r="F13" s="15">
        <f t="shared" si="2"/>
        <v>4.1965964472386041E-4</v>
      </c>
      <c r="G13" s="15" t="str">
        <f t="shared" si="3"/>
        <v>KONTROL İÇİNDE</v>
      </c>
    </row>
    <row r="14" spans="1:16370" x14ac:dyDescent="0.35">
      <c r="A14" s="21">
        <v>46055</v>
      </c>
      <c r="B14">
        <v>399</v>
      </c>
      <c r="C14">
        <v>8</v>
      </c>
      <c r="D14">
        <f t="shared" si="0"/>
        <v>2.0050125313283207E-2</v>
      </c>
      <c r="E14">
        <f t="shared" si="1"/>
        <v>4.5324536987046735E-2</v>
      </c>
      <c r="F14" s="15">
        <f t="shared" si="2"/>
        <v>4.1965964472386041E-4</v>
      </c>
      <c r="G14" s="15" t="str">
        <f t="shared" si="3"/>
        <v>KONTROL İÇİNDE</v>
      </c>
    </row>
    <row r="15" spans="1:16370" x14ac:dyDescent="0.35">
      <c r="A15" s="21">
        <v>46056</v>
      </c>
      <c r="B15">
        <v>499</v>
      </c>
      <c r="C15">
        <v>4</v>
      </c>
      <c r="D15">
        <f t="shared" si="0"/>
        <v>8.0160320641282558E-3</v>
      </c>
      <c r="E15">
        <f t="shared" si="1"/>
        <v>4.2949138758318593E-2</v>
      </c>
      <c r="F15" s="15">
        <f t="shared" si="2"/>
        <v>2.7950578734520018E-3</v>
      </c>
      <c r="G15" s="15" t="str">
        <f t="shared" si="3"/>
        <v>KONTROL İÇİNDE</v>
      </c>
    </row>
    <row r="16" spans="1:16370" x14ac:dyDescent="0.35">
      <c r="A16" s="21">
        <v>46057</v>
      </c>
      <c r="B16">
        <v>499</v>
      </c>
      <c r="C16">
        <v>4</v>
      </c>
      <c r="D16">
        <f t="shared" si="0"/>
        <v>8.0160320641282558E-3</v>
      </c>
      <c r="E16">
        <f t="shared" si="1"/>
        <v>4.2949138758318593E-2</v>
      </c>
      <c r="F16" s="15">
        <f t="shared" si="2"/>
        <v>2.7950578734520018E-3</v>
      </c>
      <c r="G16" s="15" t="str">
        <f t="shared" si="3"/>
        <v>KONTROL İÇİNDE</v>
      </c>
    </row>
    <row r="17" spans="1:7" x14ac:dyDescent="0.35">
      <c r="A17" s="21">
        <v>46058</v>
      </c>
      <c r="B17">
        <v>900</v>
      </c>
      <c r="C17">
        <v>30</v>
      </c>
      <c r="D17">
        <f t="shared" si="0"/>
        <v>3.3333333333333333E-2</v>
      </c>
      <c r="E17">
        <f t="shared" si="1"/>
        <v>3.782166868914813E-2</v>
      </c>
      <c r="F17" s="15">
        <f t="shared" si="2"/>
        <v>7.9225279426224683E-3</v>
      </c>
      <c r="G17" s="15" t="str">
        <f t="shared" si="3"/>
        <v>KONTROL İÇİNDE</v>
      </c>
    </row>
    <row r="18" spans="1:7" x14ac:dyDescent="0.35">
      <c r="A18" s="21">
        <v>46059</v>
      </c>
      <c r="B18">
        <v>7</v>
      </c>
      <c r="C18">
        <v>1</v>
      </c>
      <c r="D18">
        <f t="shared" si="0"/>
        <v>0.14285714285714285</v>
      </c>
      <c r="E18">
        <f t="shared" si="1"/>
        <v>0.19238429295122456</v>
      </c>
      <c r="F18" s="15">
        <f t="shared" si="2"/>
        <v>0</v>
      </c>
      <c r="G18" s="15" t="str">
        <f t="shared" si="3"/>
        <v>KONTROL İÇİNDE</v>
      </c>
    </row>
    <row r="19" spans="1:7" x14ac:dyDescent="0.35">
      <c r="A19" s="21">
        <v>46062</v>
      </c>
      <c r="B19">
        <v>25</v>
      </c>
      <c r="C19">
        <v>2</v>
      </c>
      <c r="D19">
        <f t="shared" si="0"/>
        <v>0.08</v>
      </c>
      <c r="E19">
        <f t="shared" si="1"/>
        <v>0.11256952055546228</v>
      </c>
      <c r="F19" s="15">
        <f t="shared" si="2"/>
        <v>0</v>
      </c>
      <c r="G19" s="15" t="str">
        <f t="shared" si="3"/>
        <v>KONTROL İÇİNDE</v>
      </c>
    </row>
    <row r="20" spans="1:7" x14ac:dyDescent="0.35">
      <c r="A20" s="21">
        <v>46063</v>
      </c>
      <c r="B20">
        <v>4</v>
      </c>
      <c r="C20">
        <v>1</v>
      </c>
      <c r="D20">
        <f t="shared" si="0"/>
        <v>0.25</v>
      </c>
      <c r="E20">
        <f t="shared" si="1"/>
        <v>0.24711565391482773</v>
      </c>
      <c r="F20" s="15">
        <f t="shared" si="2"/>
        <v>0</v>
      </c>
      <c r="G20" s="15" t="str">
        <f t="shared" si="3"/>
        <v xml:space="preserve"> KONTROL DIŞINDA</v>
      </c>
    </row>
    <row r="21" spans="1:7" x14ac:dyDescent="0.35">
      <c r="A21" s="21">
        <v>46064</v>
      </c>
      <c r="B21">
        <v>2</v>
      </c>
      <c r="C21">
        <v>0</v>
      </c>
      <c r="D21">
        <f t="shared" si="0"/>
        <v>0</v>
      </c>
      <c r="E21">
        <f t="shared" si="1"/>
        <v>0.34000037591867494</v>
      </c>
      <c r="F21" s="15">
        <f t="shared" si="2"/>
        <v>0</v>
      </c>
      <c r="G21" s="15" t="str">
        <f t="shared" si="3"/>
        <v>KONTROL İÇİNDE</v>
      </c>
    </row>
    <row r="22" spans="1:7" x14ac:dyDescent="0.35">
      <c r="A22" s="21">
        <v>46065</v>
      </c>
      <c r="B22">
        <v>86</v>
      </c>
      <c r="C22">
        <v>4</v>
      </c>
      <c r="D22">
        <f t="shared" si="0"/>
        <v>4.6511627906976744E-2</v>
      </c>
      <c r="E22">
        <f t="shared" si="1"/>
        <v>7.1233707262352078E-2</v>
      </c>
      <c r="F22" s="15">
        <f t="shared" si="2"/>
        <v>0</v>
      </c>
      <c r="G22" s="15" t="str">
        <f t="shared" si="3"/>
        <v>KONTROL İÇİNDE</v>
      </c>
    </row>
    <row r="23" spans="1:7" x14ac:dyDescent="0.35">
      <c r="A23" s="21">
        <v>46066</v>
      </c>
      <c r="B23">
        <v>16</v>
      </c>
      <c r="C23">
        <v>2</v>
      </c>
      <c r="D23">
        <f t="shared" si="0"/>
        <v>0.125</v>
      </c>
      <c r="E23">
        <f t="shared" si="1"/>
        <v>0.13499387611535651</v>
      </c>
      <c r="F23" s="15">
        <f t="shared" si="2"/>
        <v>0</v>
      </c>
      <c r="G23" s="15" t="str">
        <f t="shared" si="3"/>
        <v>KONTROL İÇİNDE</v>
      </c>
    </row>
    <row r="24" spans="1:7" x14ac:dyDescent="0.35">
      <c r="A24" s="21">
        <v>46069</v>
      </c>
      <c r="B24">
        <v>7</v>
      </c>
      <c r="C24">
        <v>1</v>
      </c>
      <c r="D24">
        <f t="shared" si="0"/>
        <v>0.14285714285714285</v>
      </c>
      <c r="E24">
        <f t="shared" si="1"/>
        <v>0.19238429295122456</v>
      </c>
      <c r="F24" s="15">
        <f t="shared" si="2"/>
        <v>0</v>
      </c>
      <c r="G24" s="15" t="str">
        <f t="shared" si="3"/>
        <v>KONTROL İÇİNDE</v>
      </c>
    </row>
    <row r="25" spans="1:7" x14ac:dyDescent="0.35">
      <c r="A25" s="21">
        <v>46070</v>
      </c>
      <c r="B25">
        <v>889</v>
      </c>
      <c r="C25">
        <v>20</v>
      </c>
      <c r="D25">
        <f t="shared" si="0"/>
        <v>2.2497187851518559E-2</v>
      </c>
      <c r="E25">
        <f t="shared" si="1"/>
        <v>3.791387324939325E-2</v>
      </c>
      <c r="F25" s="15">
        <f t="shared" si="2"/>
        <v>7.8303233823773452E-3</v>
      </c>
      <c r="G25" s="15" t="str">
        <f t="shared" si="3"/>
        <v>KONTROL İÇİNDE</v>
      </c>
    </row>
    <row r="26" spans="1:7" x14ac:dyDescent="0.35">
      <c r="A26" s="21">
        <v>46071</v>
      </c>
      <c r="B26">
        <v>90</v>
      </c>
      <c r="C26">
        <v>45</v>
      </c>
      <c r="D26">
        <f t="shared" si="0"/>
        <v>0.5</v>
      </c>
      <c r="E26">
        <f t="shared" si="1"/>
        <v>7.014679073636941E-2</v>
      </c>
      <c r="F26" s="15">
        <f t="shared" si="2"/>
        <v>0</v>
      </c>
      <c r="G26" s="15" t="str">
        <f t="shared" si="3"/>
        <v xml:space="preserve"> KONTROL DIŞINDA</v>
      </c>
    </row>
    <row r="27" spans="1:7" x14ac:dyDescent="0.35">
      <c r="A27" s="21">
        <v>46072</v>
      </c>
      <c r="B27">
        <v>8</v>
      </c>
      <c r="C27">
        <v>7</v>
      </c>
      <c r="D27">
        <f t="shared" si="0"/>
        <v>0.875</v>
      </c>
      <c r="E27">
        <f t="shared" si="1"/>
        <v>0.1814362371172801</v>
      </c>
      <c r="F27" s="15">
        <f t="shared" si="2"/>
        <v>0</v>
      </c>
      <c r="G27" s="15" t="str">
        <f t="shared" si="3"/>
        <v xml:space="preserve"> KONTROL DIŞINDA</v>
      </c>
    </row>
    <row r="28" spans="1:7" x14ac:dyDescent="0.35">
      <c r="A28" s="21">
        <v>46076</v>
      </c>
      <c r="B28">
        <v>277</v>
      </c>
      <c r="C28">
        <v>8</v>
      </c>
      <c r="D28">
        <f t="shared" si="0"/>
        <v>2.8880866425992781E-2</v>
      </c>
      <c r="E28">
        <f t="shared" si="1"/>
        <v>4.9819077203276135E-2</v>
      </c>
      <c r="F28" s="15">
        <f t="shared" si="2"/>
        <v>0</v>
      </c>
      <c r="G28" s="15" t="str">
        <f t="shared" si="3"/>
        <v>KONTROL İÇİNDE</v>
      </c>
    </row>
    <row r="29" spans="1:7" x14ac:dyDescent="0.35">
      <c r="A29" s="21">
        <v>46077</v>
      </c>
      <c r="B29">
        <v>5</v>
      </c>
      <c r="C29">
        <v>3</v>
      </c>
      <c r="D29">
        <f t="shared" si="0"/>
        <v>0.6</v>
      </c>
      <c r="E29">
        <f t="shared" si="1"/>
        <v>0.22344163185008084</v>
      </c>
      <c r="F29" s="15">
        <f t="shared" si="2"/>
        <v>0</v>
      </c>
      <c r="G29" s="15" t="str">
        <f t="shared" si="3"/>
        <v xml:space="preserve"> KONTROL DIŞINDA</v>
      </c>
    </row>
    <row r="30" spans="1:7" x14ac:dyDescent="0.35">
      <c r="A30" s="21">
        <v>46078</v>
      </c>
      <c r="B30">
        <v>677</v>
      </c>
      <c r="C30">
        <v>20</v>
      </c>
      <c r="D30">
        <f t="shared" si="0"/>
        <v>2.9542097488921712E-2</v>
      </c>
      <c r="E30">
        <f t="shared" si="1"/>
        <v>4.0108858221370045E-2</v>
      </c>
      <c r="F30" s="15">
        <f t="shared" si="2"/>
        <v>5.635338410400554E-3</v>
      </c>
      <c r="G30" s="15" t="str">
        <f t="shared" si="3"/>
        <v>KONTROL İÇİNDE</v>
      </c>
    </row>
    <row r="31" spans="1:7" x14ac:dyDescent="0.35">
      <c r="A31" s="21"/>
      <c r="B31">
        <f>SUM(B2:B30)</f>
        <v>8788</v>
      </c>
      <c r="C31">
        <f>SUM(C2:C30)</f>
        <v>201</v>
      </c>
      <c r="D31">
        <f t="shared" si="0"/>
        <v>2.2872098315885298E-2</v>
      </c>
      <c r="F31" s="15"/>
      <c r="G31" s="15"/>
    </row>
    <row r="32" spans="1:7" x14ac:dyDescent="0.35">
      <c r="A32" s="21"/>
      <c r="F32" s="15"/>
      <c r="G32" s="15"/>
    </row>
    <row r="33" spans="1:8" x14ac:dyDescent="0.35">
      <c r="A33" s="21"/>
      <c r="F33" s="15"/>
      <c r="G33" s="15"/>
    </row>
    <row r="34" spans="1:8" x14ac:dyDescent="0.35">
      <c r="A34" s="21"/>
      <c r="F34" s="15"/>
      <c r="G34" s="15"/>
    </row>
    <row r="35" spans="1:8" x14ac:dyDescent="0.35">
      <c r="A35" s="21"/>
      <c r="F35" s="15"/>
      <c r="G35" s="15"/>
    </row>
    <row r="36" spans="1:8" x14ac:dyDescent="0.35">
      <c r="A36" s="21"/>
      <c r="F36" s="15"/>
      <c r="G36" s="15"/>
    </row>
    <row r="37" spans="1:8" x14ac:dyDescent="0.35">
      <c r="A37" s="21"/>
      <c r="F37" s="15"/>
      <c r="G37" s="15"/>
    </row>
    <row r="38" spans="1:8" x14ac:dyDescent="0.35">
      <c r="A38" s="21"/>
      <c r="F38" s="15"/>
      <c r="G38" s="15"/>
    </row>
    <row r="39" spans="1:8" x14ac:dyDescent="0.35">
      <c r="A39" s="21"/>
      <c r="F39" s="15"/>
      <c r="G39" s="15"/>
    </row>
    <row r="40" spans="1:8" x14ac:dyDescent="0.35">
      <c r="A40" s="21"/>
      <c r="F40" s="15"/>
      <c r="G40" s="15"/>
    </row>
    <row r="41" spans="1:8" x14ac:dyDescent="0.35">
      <c r="A41" s="21"/>
      <c r="F41" s="15"/>
      <c r="G41" s="15"/>
    </row>
    <row r="42" spans="1:8" x14ac:dyDescent="0.35">
      <c r="A42" s="21"/>
      <c r="F42" s="15"/>
      <c r="G42" s="15"/>
    </row>
    <row r="43" spans="1:8" x14ac:dyDescent="0.35">
      <c r="A43" s="21"/>
      <c r="F43" s="15"/>
      <c r="G43" s="15"/>
    </row>
    <row r="44" spans="1:8" x14ac:dyDescent="0.35">
      <c r="A44" s="21"/>
      <c r="F44" s="15"/>
      <c r="G44" s="15"/>
    </row>
    <row r="45" spans="1:8" x14ac:dyDescent="0.35">
      <c r="A45" s="21"/>
      <c r="F45" s="15"/>
      <c r="G45" s="15"/>
    </row>
    <row r="46" spans="1:8" x14ac:dyDescent="0.35">
      <c r="A46" s="21"/>
      <c r="F46" s="15"/>
      <c r="G46" s="15"/>
    </row>
    <row r="47" spans="1:8" x14ac:dyDescent="0.35">
      <c r="A47" s="21"/>
      <c r="F47" s="15"/>
      <c r="G47" s="15"/>
      <c r="H47" s="6"/>
    </row>
    <row r="48" spans="1:8" x14ac:dyDescent="0.35">
      <c r="A48" s="21"/>
      <c r="F48" s="15"/>
      <c r="G48" s="15"/>
    </row>
    <row r="49" spans="1:7" x14ac:dyDescent="0.35">
      <c r="A49" s="21"/>
      <c r="F49" s="15"/>
      <c r="G49" s="15"/>
    </row>
    <row r="50" spans="1:7" x14ac:dyDescent="0.35">
      <c r="A50" s="21"/>
      <c r="F50" s="15"/>
      <c r="G50" s="15"/>
    </row>
    <row r="51" spans="1:7" x14ac:dyDescent="0.35">
      <c r="A51" s="21"/>
      <c r="F51" s="15"/>
      <c r="G51" s="15"/>
    </row>
    <row r="52" spans="1:7" x14ac:dyDescent="0.35">
      <c r="A52" s="21"/>
      <c r="F52" s="15"/>
      <c r="G52" s="15"/>
    </row>
    <row r="53" spans="1:7" x14ac:dyDescent="0.35">
      <c r="A53" s="21"/>
      <c r="F53" s="15"/>
      <c r="G53" s="15"/>
    </row>
    <row r="54" spans="1:7" x14ac:dyDescent="0.35">
      <c r="A54" s="21"/>
      <c r="F54" s="15"/>
      <c r="G54" s="15"/>
    </row>
    <row r="55" spans="1:7" x14ac:dyDescent="0.35">
      <c r="A55" s="21"/>
      <c r="F55" s="15"/>
      <c r="G55" s="15"/>
    </row>
    <row r="56" spans="1:7" x14ac:dyDescent="0.35">
      <c r="A56" s="21"/>
      <c r="F56" s="15"/>
      <c r="G56" s="15"/>
    </row>
    <row r="57" spans="1:7" x14ac:dyDescent="0.35">
      <c r="A57" s="21"/>
      <c r="F57" s="15"/>
      <c r="G57" s="15"/>
    </row>
    <row r="58" spans="1:7" x14ac:dyDescent="0.35">
      <c r="A58" s="21"/>
      <c r="F58" s="15"/>
      <c r="G58" s="15"/>
    </row>
    <row r="59" spans="1:7" x14ac:dyDescent="0.35">
      <c r="A59" s="21"/>
      <c r="F59" s="15"/>
      <c r="G59" s="15"/>
    </row>
    <row r="60" spans="1:7" x14ac:dyDescent="0.35">
      <c r="A60" s="21"/>
      <c r="F60" s="15"/>
      <c r="G60" s="15"/>
    </row>
    <row r="61" spans="1:7" x14ac:dyDescent="0.35">
      <c r="A61" s="21"/>
      <c r="F61" s="15"/>
      <c r="G61" s="15"/>
    </row>
    <row r="62" spans="1:7" x14ac:dyDescent="0.35">
      <c r="A62" s="21"/>
      <c r="F62" s="15"/>
      <c r="G62" s="15"/>
    </row>
    <row r="63" spans="1:7" x14ac:dyDescent="0.35">
      <c r="A63" s="21"/>
      <c r="F63" s="15"/>
      <c r="G63" s="15"/>
    </row>
    <row r="64" spans="1:7" x14ac:dyDescent="0.35">
      <c r="A64" s="21"/>
      <c r="F64" s="15"/>
      <c r="G64" s="15"/>
    </row>
    <row r="65" spans="1:7" x14ac:dyDescent="0.35">
      <c r="A65" s="21"/>
      <c r="F65" s="15"/>
      <c r="G65" s="15"/>
    </row>
    <row r="66" spans="1:7" x14ac:dyDescent="0.35">
      <c r="A66" s="21"/>
      <c r="F66" s="15"/>
      <c r="G66" s="15"/>
    </row>
    <row r="67" spans="1:7" x14ac:dyDescent="0.35">
      <c r="A67" s="21"/>
      <c r="F67" s="15"/>
      <c r="G67" s="15"/>
    </row>
    <row r="68" spans="1:7" x14ac:dyDescent="0.35">
      <c r="A68" s="21"/>
      <c r="F68" s="15"/>
      <c r="G68" s="15"/>
    </row>
    <row r="69" spans="1:7" x14ac:dyDescent="0.35">
      <c r="A69" s="21"/>
      <c r="F69" s="15"/>
      <c r="G69" s="15"/>
    </row>
    <row r="70" spans="1:7" x14ac:dyDescent="0.35">
      <c r="A70" s="21"/>
      <c r="F70" s="15"/>
      <c r="G70" s="15"/>
    </row>
    <row r="71" spans="1:7" x14ac:dyDescent="0.35">
      <c r="A71" s="21"/>
      <c r="F71" s="15"/>
      <c r="G71" s="15"/>
    </row>
    <row r="72" spans="1:7" x14ac:dyDescent="0.35">
      <c r="A72" s="21"/>
      <c r="F72" s="15"/>
      <c r="G72" s="15"/>
    </row>
    <row r="73" spans="1:7" x14ac:dyDescent="0.35">
      <c r="A73" s="21"/>
      <c r="F73" s="15"/>
      <c r="G73" s="15"/>
    </row>
    <row r="74" spans="1:7" x14ac:dyDescent="0.35">
      <c r="A74" s="21"/>
      <c r="F74" s="15"/>
      <c r="G74" s="15"/>
    </row>
    <row r="75" spans="1:7" x14ac:dyDescent="0.35">
      <c r="A75" s="21"/>
      <c r="F75" s="15"/>
      <c r="G75" s="15"/>
    </row>
    <row r="76" spans="1:7" x14ac:dyDescent="0.35">
      <c r="A76" s="21"/>
      <c r="F76" s="15"/>
      <c r="G76" s="15"/>
    </row>
    <row r="77" spans="1:7" x14ac:dyDescent="0.35">
      <c r="A77" s="21"/>
      <c r="F77" s="15"/>
      <c r="G77" s="15"/>
    </row>
    <row r="78" spans="1:7" x14ac:dyDescent="0.35">
      <c r="A78" s="21"/>
      <c r="F78" s="15"/>
      <c r="G78" s="15"/>
    </row>
    <row r="79" spans="1:7" x14ac:dyDescent="0.35">
      <c r="A79" s="21"/>
      <c r="F79" s="15"/>
      <c r="G79" s="15"/>
    </row>
    <row r="80" spans="1:7" x14ac:dyDescent="0.35">
      <c r="A80" s="21"/>
      <c r="F80" s="15"/>
      <c r="G80" s="15"/>
    </row>
    <row r="81" spans="1:7" x14ac:dyDescent="0.35">
      <c r="A81" s="21"/>
      <c r="F81" s="15"/>
      <c r="G81" s="15"/>
    </row>
    <row r="82" spans="1:7" x14ac:dyDescent="0.35">
      <c r="A82" s="21"/>
      <c r="F82" s="15"/>
      <c r="G82" s="15"/>
    </row>
    <row r="83" spans="1:7" x14ac:dyDescent="0.35">
      <c r="A83" s="21"/>
      <c r="F83" s="15"/>
      <c r="G83" s="15"/>
    </row>
    <row r="84" spans="1:7" x14ac:dyDescent="0.35">
      <c r="A84" s="21"/>
      <c r="F84" s="15"/>
      <c r="G84" s="15"/>
    </row>
    <row r="85" spans="1:7" x14ac:dyDescent="0.35">
      <c r="A85" s="21"/>
      <c r="F85" s="15"/>
      <c r="G85" s="15"/>
    </row>
    <row r="86" spans="1:7" x14ac:dyDescent="0.35">
      <c r="A86" s="21"/>
      <c r="F86" s="15"/>
      <c r="G86" s="15"/>
    </row>
    <row r="87" spans="1:7" x14ac:dyDescent="0.35">
      <c r="A87" s="21"/>
      <c r="F87" s="15"/>
      <c r="G87" s="15"/>
    </row>
    <row r="88" spans="1:7" x14ac:dyDescent="0.35">
      <c r="A88" s="21"/>
      <c r="F88" s="15"/>
      <c r="G88" s="15"/>
    </row>
    <row r="89" spans="1:7" x14ac:dyDescent="0.35">
      <c r="A89" s="21"/>
      <c r="F89" s="15"/>
      <c r="G89" s="15"/>
    </row>
    <row r="90" spans="1:7" x14ac:dyDescent="0.35">
      <c r="A90" s="21"/>
      <c r="F90" s="15"/>
      <c r="G90" s="15"/>
    </row>
    <row r="91" spans="1:7" x14ac:dyDescent="0.35">
      <c r="A91" s="21"/>
      <c r="F91" s="15"/>
      <c r="G91" s="15"/>
    </row>
    <row r="92" spans="1:7" x14ac:dyDescent="0.35">
      <c r="A92" s="21"/>
      <c r="F92" s="15"/>
      <c r="G92" s="15"/>
    </row>
    <row r="93" spans="1:7" x14ac:dyDescent="0.35">
      <c r="A93" s="21"/>
      <c r="F93" s="15"/>
      <c r="G93" s="15"/>
    </row>
    <row r="94" spans="1:7" x14ac:dyDescent="0.35">
      <c r="A94" s="21"/>
      <c r="F94" s="15"/>
      <c r="G94" s="15"/>
    </row>
    <row r="95" spans="1:7" x14ac:dyDescent="0.35">
      <c r="A95" s="21"/>
      <c r="F95" s="15"/>
      <c r="G95" s="15"/>
    </row>
    <row r="96" spans="1:7" x14ac:dyDescent="0.35">
      <c r="A96" s="21"/>
      <c r="F96" s="15"/>
      <c r="G96" s="15"/>
    </row>
    <row r="97" spans="1:7" x14ac:dyDescent="0.35">
      <c r="A97" s="21"/>
      <c r="F97" s="15"/>
      <c r="G97" s="15"/>
    </row>
    <row r="98" spans="1:7" x14ac:dyDescent="0.35">
      <c r="A98" s="21"/>
      <c r="F98" s="15"/>
      <c r="G98" s="15"/>
    </row>
    <row r="99" spans="1:7" x14ac:dyDescent="0.35">
      <c r="A99" s="21"/>
      <c r="F99" s="15"/>
      <c r="G99" s="15"/>
    </row>
    <row r="100" spans="1:7" x14ac:dyDescent="0.35">
      <c r="A100" s="21"/>
      <c r="F100" s="15"/>
      <c r="G100" s="15"/>
    </row>
    <row r="101" spans="1:7" x14ac:dyDescent="0.35">
      <c r="A101" s="21"/>
      <c r="F101" s="15"/>
      <c r="G101" s="15"/>
    </row>
    <row r="102" spans="1:7" x14ac:dyDescent="0.35">
      <c r="A102" s="21"/>
      <c r="F102" s="15"/>
      <c r="G102" s="15"/>
    </row>
    <row r="103" spans="1:7" x14ac:dyDescent="0.35">
      <c r="A103" s="21"/>
      <c r="F103" s="15"/>
      <c r="G103" s="15"/>
    </row>
    <row r="104" spans="1:7" x14ac:dyDescent="0.35">
      <c r="A104" s="21"/>
      <c r="F104" s="15"/>
      <c r="G104" s="15"/>
    </row>
    <row r="105" spans="1:7" x14ac:dyDescent="0.35">
      <c r="A105" s="21"/>
      <c r="F105" s="15"/>
      <c r="G105" s="15"/>
    </row>
    <row r="106" spans="1:7" x14ac:dyDescent="0.35">
      <c r="A106" s="21"/>
      <c r="F106" s="15"/>
      <c r="G106" s="15"/>
    </row>
    <row r="107" spans="1:7" x14ac:dyDescent="0.35">
      <c r="A107" s="21"/>
      <c r="F107" s="15"/>
      <c r="G107" s="15"/>
    </row>
    <row r="108" spans="1:7" x14ac:dyDescent="0.35">
      <c r="A108" s="21"/>
      <c r="F108" s="15"/>
      <c r="G108" s="15"/>
    </row>
    <row r="109" spans="1:7" x14ac:dyDescent="0.35">
      <c r="A109" s="21"/>
      <c r="F109" s="15"/>
      <c r="G109" s="15"/>
    </row>
    <row r="110" spans="1:7" x14ac:dyDescent="0.35">
      <c r="A110" s="21"/>
      <c r="F110" s="15"/>
      <c r="G110" s="15"/>
    </row>
    <row r="111" spans="1:7" x14ac:dyDescent="0.35">
      <c r="A111" s="21"/>
      <c r="F111" s="15"/>
      <c r="G111" s="15"/>
    </row>
    <row r="112" spans="1:7" x14ac:dyDescent="0.35">
      <c r="A112" s="21"/>
      <c r="F112" s="15"/>
      <c r="G112" s="15"/>
    </row>
    <row r="113" spans="1:7" x14ac:dyDescent="0.35">
      <c r="A113" s="21"/>
      <c r="F113" s="15"/>
      <c r="G113" s="15"/>
    </row>
    <row r="114" spans="1:7" x14ac:dyDescent="0.35">
      <c r="A114" s="21"/>
      <c r="F114" s="15"/>
      <c r="G114" s="15"/>
    </row>
    <row r="115" spans="1:7" x14ac:dyDescent="0.35">
      <c r="A115" s="21"/>
      <c r="F115" s="15"/>
      <c r="G115" s="15"/>
    </row>
    <row r="116" spans="1:7" x14ac:dyDescent="0.35">
      <c r="A116" s="21"/>
      <c r="F116" s="15"/>
      <c r="G116" s="15"/>
    </row>
    <row r="117" spans="1:7" x14ac:dyDescent="0.35">
      <c r="A117" s="21"/>
      <c r="F117" s="15"/>
      <c r="G117" s="15"/>
    </row>
    <row r="118" spans="1:7" x14ac:dyDescent="0.35">
      <c r="A118" s="21"/>
      <c r="F118" s="15"/>
      <c r="G118" s="15"/>
    </row>
    <row r="119" spans="1:7" x14ac:dyDescent="0.35">
      <c r="A119" s="21"/>
      <c r="F119" s="15"/>
      <c r="G119" s="15"/>
    </row>
    <row r="120" spans="1:7" x14ac:dyDescent="0.35">
      <c r="A120" s="21"/>
      <c r="F120" s="15"/>
      <c r="G120" s="15"/>
    </row>
    <row r="121" spans="1:7" x14ac:dyDescent="0.35">
      <c r="A121" s="21"/>
      <c r="F121" s="15"/>
      <c r="G121" s="15"/>
    </row>
    <row r="122" spans="1:7" x14ac:dyDescent="0.35">
      <c r="A122" s="21"/>
      <c r="F122" s="15"/>
      <c r="G122" s="15"/>
    </row>
    <row r="123" spans="1:7" x14ac:dyDescent="0.35">
      <c r="A123" s="21"/>
      <c r="F123" s="15"/>
      <c r="G123" s="15"/>
    </row>
    <row r="124" spans="1:7" x14ac:dyDescent="0.35">
      <c r="A124" s="21"/>
      <c r="F124" s="15"/>
      <c r="G124" s="15"/>
    </row>
    <row r="125" spans="1:7" x14ac:dyDescent="0.35">
      <c r="A125" s="21"/>
      <c r="F125" s="15"/>
      <c r="G125" s="15"/>
    </row>
    <row r="126" spans="1:7" x14ac:dyDescent="0.35">
      <c r="A126" s="21"/>
      <c r="F126" s="15"/>
      <c r="G126" s="15"/>
    </row>
    <row r="127" spans="1:7" x14ac:dyDescent="0.35">
      <c r="A127" s="21"/>
      <c r="F127" s="15"/>
      <c r="G127" s="15"/>
    </row>
    <row r="128" spans="1:7" x14ac:dyDescent="0.35">
      <c r="A128" s="21"/>
      <c r="F128" s="15"/>
      <c r="G128" s="15"/>
    </row>
    <row r="129" spans="1:7" x14ac:dyDescent="0.35">
      <c r="A129" s="21"/>
      <c r="F129" s="15"/>
      <c r="G129" s="15"/>
    </row>
    <row r="130" spans="1:7" x14ac:dyDescent="0.35">
      <c r="A130" s="21"/>
      <c r="F130" s="15"/>
      <c r="G130" s="15"/>
    </row>
    <row r="131" spans="1:7" x14ac:dyDescent="0.35">
      <c r="A131" s="21"/>
      <c r="F131" s="15"/>
      <c r="G131" s="15"/>
    </row>
    <row r="132" spans="1:7" x14ac:dyDescent="0.35">
      <c r="A132" s="21"/>
      <c r="F132" s="15"/>
      <c r="G132" s="15"/>
    </row>
    <row r="133" spans="1:7" x14ac:dyDescent="0.35">
      <c r="A133" s="21"/>
      <c r="F133" s="15"/>
      <c r="G133" s="15"/>
    </row>
    <row r="134" spans="1:7" x14ac:dyDescent="0.35">
      <c r="A134" s="21"/>
      <c r="F134" s="15"/>
      <c r="G134" s="15"/>
    </row>
    <row r="135" spans="1:7" x14ac:dyDescent="0.35">
      <c r="A135" s="21"/>
      <c r="F135" s="15"/>
      <c r="G135" s="15"/>
    </row>
    <row r="136" spans="1:7" x14ac:dyDescent="0.35">
      <c r="A136" s="21"/>
      <c r="F136" s="15"/>
      <c r="G136" s="15"/>
    </row>
    <row r="137" spans="1:7" x14ac:dyDescent="0.35">
      <c r="A137" s="21"/>
      <c r="F137" s="15"/>
      <c r="G137" s="15"/>
    </row>
    <row r="138" spans="1:7" x14ac:dyDescent="0.35">
      <c r="A138" s="21"/>
      <c r="F138" s="15"/>
      <c r="G138" s="15"/>
    </row>
    <row r="139" spans="1:7" x14ac:dyDescent="0.35">
      <c r="A139" s="21"/>
      <c r="F139" s="15"/>
      <c r="G139" s="15"/>
    </row>
    <row r="140" spans="1:7" x14ac:dyDescent="0.35">
      <c r="A140" s="21"/>
      <c r="F140" s="15"/>
      <c r="G140" s="15"/>
    </row>
    <row r="141" spans="1:7" x14ac:dyDescent="0.35">
      <c r="A141" s="21"/>
      <c r="F141" s="15"/>
      <c r="G141" s="15"/>
    </row>
    <row r="142" spans="1:7" x14ac:dyDescent="0.35">
      <c r="A142" s="21"/>
      <c r="F142" s="15"/>
      <c r="G142" s="15"/>
    </row>
    <row r="143" spans="1:7" x14ac:dyDescent="0.35">
      <c r="A143" s="21"/>
      <c r="F143" s="15"/>
      <c r="G143" s="15"/>
    </row>
    <row r="144" spans="1:7" x14ac:dyDescent="0.35">
      <c r="A144" s="21"/>
      <c r="F144" s="15"/>
      <c r="G144" s="15"/>
    </row>
    <row r="145" spans="1:7" x14ac:dyDescent="0.35">
      <c r="A145" s="21"/>
      <c r="F145" s="15"/>
      <c r="G145" s="15"/>
    </row>
    <row r="146" spans="1:7" x14ac:dyDescent="0.35">
      <c r="A146" s="21"/>
      <c r="F146" s="15"/>
      <c r="G146" s="15"/>
    </row>
    <row r="147" spans="1:7" x14ac:dyDescent="0.35">
      <c r="A147" s="21"/>
      <c r="F147" s="15"/>
      <c r="G147" s="15"/>
    </row>
    <row r="148" spans="1:7" x14ac:dyDescent="0.35">
      <c r="A148" s="21"/>
      <c r="F148" s="15"/>
      <c r="G148" s="15"/>
    </row>
  </sheetData>
  <conditionalFormatting sqref="G1:G1048576">
    <cfRule type="cellIs" dxfId="1" priority="1" operator="equal">
      <formula>$G$10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EP148"/>
  <sheetViews>
    <sheetView topLeftCell="F3" zoomScale="77" zoomScaleNormal="100" workbookViewId="0">
      <selection activeCell="T38" sqref="S37:T38"/>
    </sheetView>
  </sheetViews>
  <sheetFormatPr defaultRowHeight="14.5" x14ac:dyDescent="0.35"/>
  <cols>
    <col min="1" max="1" width="26.6328125" customWidth="1"/>
    <col min="2" max="2" width="23.26953125" customWidth="1"/>
    <col min="3" max="3" width="14.1796875" customWidth="1"/>
    <col min="7" max="7" width="21.90625" customWidth="1"/>
  </cols>
  <sheetData>
    <row r="1" spans="1:16370" ht="42" customHeight="1" x14ac:dyDescent="0.35">
      <c r="A1" s="19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3" t="s">
        <v>6</v>
      </c>
      <c r="H1" s="31" t="s">
        <v>7</v>
      </c>
      <c r="I1" s="31" t="s">
        <v>8</v>
      </c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</row>
    <row r="2" spans="1:16370" s="15" customFormat="1" ht="13.5" customHeight="1" x14ac:dyDescent="0.35">
      <c r="A2" s="32">
        <v>46029</v>
      </c>
      <c r="B2" s="33">
        <v>500</v>
      </c>
      <c r="C2" s="33">
        <v>5</v>
      </c>
      <c r="D2" s="33">
        <f t="shared" ref="D2:D31" si="0">C2/B2</f>
        <v>0.01</v>
      </c>
      <c r="E2" s="33">
        <f t="shared" ref="E2:E30" si="1">$D$32+3*SQRT($D$32*(1-$D$32)/B2)</f>
        <v>2.7982655604763547E-2</v>
      </c>
      <c r="F2" s="34">
        <f t="shared" ref="F2:F30" si="2">MAX(0,$D$32-3*SQRT($D$32*(1-$D$32)/B2))</f>
        <v>0</v>
      </c>
      <c r="G2" s="34" t="str">
        <f t="shared" ref="G2:G30" si="3">IF(AND(D2&lt;=E2,D2&gt;=F2),"KONTROL İÇİNDE"," KONTROL DIŞINDA")</f>
        <v>KONTROL İÇİNDE</v>
      </c>
      <c r="H2" s="35"/>
      <c r="I2" s="36" t="s">
        <v>9</v>
      </c>
    </row>
    <row r="3" spans="1:16370" x14ac:dyDescent="0.35">
      <c r="A3" s="32">
        <v>46030</v>
      </c>
      <c r="B3" s="33">
        <v>500</v>
      </c>
      <c r="C3" s="33">
        <v>2</v>
      </c>
      <c r="D3" s="33">
        <f t="shared" si="0"/>
        <v>4.0000000000000001E-3</v>
      </c>
      <c r="E3" s="33">
        <f t="shared" si="1"/>
        <v>2.7982655604763547E-2</v>
      </c>
      <c r="F3" s="34">
        <f t="shared" si="2"/>
        <v>0</v>
      </c>
      <c r="G3" s="34" t="str">
        <f t="shared" si="3"/>
        <v>KONTROL İÇİNDE</v>
      </c>
      <c r="H3" s="35"/>
      <c r="I3" s="36" t="s">
        <v>9</v>
      </c>
    </row>
    <row r="4" spans="1:16370" x14ac:dyDescent="0.35">
      <c r="A4" s="32">
        <v>46031</v>
      </c>
      <c r="B4" s="33">
        <v>500</v>
      </c>
      <c r="C4" s="33">
        <v>3</v>
      </c>
      <c r="D4" s="33">
        <f t="shared" si="0"/>
        <v>6.0000000000000001E-3</v>
      </c>
      <c r="E4" s="33">
        <f t="shared" si="1"/>
        <v>2.7982655604763547E-2</v>
      </c>
      <c r="F4" s="34">
        <f t="shared" si="2"/>
        <v>0</v>
      </c>
      <c r="G4" s="34" t="str">
        <f t="shared" si="3"/>
        <v>KONTROL İÇİNDE</v>
      </c>
      <c r="H4" s="35"/>
      <c r="I4" s="36" t="s">
        <v>9</v>
      </c>
    </row>
    <row r="5" spans="1:16370" x14ac:dyDescent="0.35">
      <c r="A5" s="32">
        <v>46035</v>
      </c>
      <c r="B5" s="33">
        <v>300</v>
      </c>
      <c r="C5" s="33">
        <v>3</v>
      </c>
      <c r="D5" s="33">
        <f t="shared" si="0"/>
        <v>0.01</v>
      </c>
      <c r="E5" s="33">
        <f t="shared" si="1"/>
        <v>3.2382097825408823E-2</v>
      </c>
      <c r="F5" s="34">
        <f t="shared" si="2"/>
        <v>0</v>
      </c>
      <c r="G5" s="34" t="str">
        <f t="shared" si="3"/>
        <v>KONTROL İÇİNDE</v>
      </c>
      <c r="H5" s="35"/>
      <c r="I5" s="36" t="s">
        <v>9</v>
      </c>
    </row>
    <row r="6" spans="1:16370" x14ac:dyDescent="0.35">
      <c r="A6" s="32">
        <v>46037</v>
      </c>
      <c r="B6" s="33">
        <v>500</v>
      </c>
      <c r="C6" s="33">
        <v>3</v>
      </c>
      <c r="D6" s="33">
        <f t="shared" si="0"/>
        <v>6.0000000000000001E-3</v>
      </c>
      <c r="E6" s="33">
        <f t="shared" si="1"/>
        <v>2.7982655604763547E-2</v>
      </c>
      <c r="F6" s="34">
        <f t="shared" si="2"/>
        <v>0</v>
      </c>
      <c r="G6" s="34" t="str">
        <f t="shared" si="3"/>
        <v>KONTROL İÇİNDE</v>
      </c>
      <c r="H6" s="35"/>
      <c r="I6" s="36" t="s">
        <v>9</v>
      </c>
    </row>
    <row r="7" spans="1:16370" x14ac:dyDescent="0.35">
      <c r="A7" s="32">
        <v>46038</v>
      </c>
      <c r="B7" s="33">
        <v>400</v>
      </c>
      <c r="C7" s="33">
        <v>3</v>
      </c>
      <c r="D7" s="33">
        <f t="shared" si="0"/>
        <v>7.4999999999999997E-3</v>
      </c>
      <c r="E7" s="33">
        <f t="shared" si="1"/>
        <v>2.9767169762450845E-2</v>
      </c>
      <c r="F7" s="34">
        <f t="shared" si="2"/>
        <v>0</v>
      </c>
      <c r="G7" s="34" t="str">
        <f t="shared" si="3"/>
        <v>KONTROL İÇİNDE</v>
      </c>
      <c r="H7" s="35"/>
      <c r="I7" s="36" t="s">
        <v>9</v>
      </c>
    </row>
    <row r="8" spans="1:16370" x14ac:dyDescent="0.35">
      <c r="A8" s="32">
        <v>46041</v>
      </c>
      <c r="B8" s="33">
        <v>199</v>
      </c>
      <c r="C8" s="33">
        <v>3</v>
      </c>
      <c r="D8" s="33">
        <f t="shared" si="0"/>
        <v>1.507537688442211E-2</v>
      </c>
      <c r="E8" s="33">
        <f t="shared" si="1"/>
        <v>3.682867491974684E-2</v>
      </c>
      <c r="F8" s="34">
        <f t="shared" si="2"/>
        <v>0</v>
      </c>
      <c r="G8" s="34" t="str">
        <f t="shared" si="3"/>
        <v>KONTROL İÇİNDE</v>
      </c>
      <c r="H8" s="35"/>
      <c r="I8" s="36" t="s">
        <v>9</v>
      </c>
    </row>
    <row r="9" spans="1:16370" x14ac:dyDescent="0.35">
      <c r="A9" s="32">
        <v>46043</v>
      </c>
      <c r="B9" s="33">
        <v>300</v>
      </c>
      <c r="C9" s="33">
        <v>2</v>
      </c>
      <c r="D9" s="33">
        <f t="shared" si="0"/>
        <v>6.6666666666666671E-3</v>
      </c>
      <c r="E9" s="33">
        <f t="shared" si="1"/>
        <v>3.2382097825408823E-2</v>
      </c>
      <c r="F9" s="34">
        <f t="shared" si="2"/>
        <v>0</v>
      </c>
      <c r="G9" s="34" t="str">
        <f t="shared" si="3"/>
        <v>KONTROL İÇİNDE</v>
      </c>
      <c r="H9" s="35"/>
      <c r="I9" s="36" t="s">
        <v>9</v>
      </c>
    </row>
    <row r="10" spans="1:16370" x14ac:dyDescent="0.35">
      <c r="A10" s="32">
        <v>46045</v>
      </c>
      <c r="B10" s="33">
        <v>300</v>
      </c>
      <c r="C10" s="33">
        <v>2</v>
      </c>
      <c r="D10" s="33">
        <f t="shared" si="0"/>
        <v>6.6666666666666671E-3</v>
      </c>
      <c r="E10" s="33">
        <f t="shared" si="1"/>
        <v>3.2382097825408823E-2</v>
      </c>
      <c r="F10" s="34">
        <f t="shared" si="2"/>
        <v>0</v>
      </c>
      <c r="G10" s="34" t="str">
        <f t="shared" si="3"/>
        <v>KONTROL İÇİNDE</v>
      </c>
      <c r="H10" s="35"/>
      <c r="I10" s="36" t="s">
        <v>9</v>
      </c>
    </row>
    <row r="11" spans="1:16370" x14ac:dyDescent="0.35">
      <c r="A11" s="32">
        <v>46048</v>
      </c>
      <c r="B11" s="33">
        <v>200</v>
      </c>
      <c r="C11" s="33">
        <v>2</v>
      </c>
      <c r="D11" s="33">
        <f t="shared" si="0"/>
        <v>0.01</v>
      </c>
      <c r="E11" s="33">
        <f t="shared" si="1"/>
        <v>3.6768688177673578E-2</v>
      </c>
      <c r="F11" s="34">
        <f t="shared" si="2"/>
        <v>0</v>
      </c>
      <c r="G11" s="34" t="str">
        <f t="shared" si="3"/>
        <v>KONTROL İÇİNDE</v>
      </c>
      <c r="H11" s="35"/>
      <c r="I11" s="36" t="s">
        <v>9</v>
      </c>
    </row>
    <row r="12" spans="1:16370" x14ac:dyDescent="0.35">
      <c r="A12" s="32">
        <v>46050</v>
      </c>
      <c r="B12" s="33">
        <v>300</v>
      </c>
      <c r="C12" s="33">
        <v>6</v>
      </c>
      <c r="D12" s="33">
        <f t="shared" si="0"/>
        <v>0.02</v>
      </c>
      <c r="E12" s="33">
        <f t="shared" si="1"/>
        <v>3.2382097825408823E-2</v>
      </c>
      <c r="F12" s="34">
        <f t="shared" si="2"/>
        <v>0</v>
      </c>
      <c r="G12" s="34" t="str">
        <f t="shared" si="3"/>
        <v>KONTROL İÇİNDE</v>
      </c>
      <c r="H12" s="35"/>
      <c r="I12" s="36" t="s">
        <v>9</v>
      </c>
    </row>
    <row r="13" spans="1:16370" x14ac:dyDescent="0.35">
      <c r="A13" s="32">
        <v>46052</v>
      </c>
      <c r="B13" s="33">
        <v>399</v>
      </c>
      <c r="C13" s="33">
        <v>7</v>
      </c>
      <c r="D13" s="33">
        <f t="shared" si="0"/>
        <v>1.7543859649122806E-2</v>
      </c>
      <c r="E13" s="33">
        <f t="shared" si="1"/>
        <v>2.9788338412843736E-2</v>
      </c>
      <c r="F13" s="34">
        <f t="shared" si="2"/>
        <v>0</v>
      </c>
      <c r="G13" s="34" t="str">
        <f t="shared" si="3"/>
        <v>KONTROL İÇİNDE</v>
      </c>
      <c r="H13" s="35"/>
      <c r="I13" s="36" t="s">
        <v>9</v>
      </c>
    </row>
    <row r="14" spans="1:16370" x14ac:dyDescent="0.35">
      <c r="A14" s="32">
        <v>46055</v>
      </c>
      <c r="B14" s="33">
        <v>399</v>
      </c>
      <c r="C14" s="33">
        <v>8</v>
      </c>
      <c r="D14" s="33">
        <f t="shared" si="0"/>
        <v>2.0050125313283207E-2</v>
      </c>
      <c r="E14" s="33">
        <f t="shared" si="1"/>
        <v>2.9788338412843736E-2</v>
      </c>
      <c r="F14" s="34">
        <f t="shared" si="2"/>
        <v>0</v>
      </c>
      <c r="G14" s="34" t="str">
        <f t="shared" si="3"/>
        <v>KONTROL İÇİNDE</v>
      </c>
      <c r="H14" s="35"/>
      <c r="I14" s="36" t="s">
        <v>9</v>
      </c>
    </row>
    <row r="15" spans="1:16370" x14ac:dyDescent="0.35">
      <c r="A15" s="32">
        <v>46056</v>
      </c>
      <c r="B15" s="33">
        <v>499</v>
      </c>
      <c r="C15" s="33">
        <v>4</v>
      </c>
      <c r="D15" s="33">
        <f t="shared" si="0"/>
        <v>8.0160320641282558E-3</v>
      </c>
      <c r="E15" s="33">
        <f t="shared" si="1"/>
        <v>2.799779696715381E-2</v>
      </c>
      <c r="F15" s="34">
        <f t="shared" si="2"/>
        <v>0</v>
      </c>
      <c r="G15" s="34" t="str">
        <f t="shared" si="3"/>
        <v>KONTROL İÇİNDE</v>
      </c>
      <c r="H15" s="35"/>
      <c r="I15" s="36" t="s">
        <v>9</v>
      </c>
    </row>
    <row r="16" spans="1:16370" x14ac:dyDescent="0.35">
      <c r="A16" s="32">
        <v>46057</v>
      </c>
      <c r="B16" s="33">
        <v>499</v>
      </c>
      <c r="C16" s="33">
        <v>4</v>
      </c>
      <c r="D16" s="33">
        <f t="shared" si="0"/>
        <v>8.0160320641282558E-3</v>
      </c>
      <c r="E16" s="33">
        <f t="shared" si="1"/>
        <v>2.799779696715381E-2</v>
      </c>
      <c r="F16" s="34">
        <f t="shared" si="2"/>
        <v>0</v>
      </c>
      <c r="G16" s="34" t="str">
        <f t="shared" si="3"/>
        <v>KONTROL İÇİNDE</v>
      </c>
      <c r="H16" s="35"/>
      <c r="I16" s="36" t="s">
        <v>9</v>
      </c>
    </row>
    <row r="17" spans="1:9" x14ac:dyDescent="0.35">
      <c r="A17" s="37">
        <v>46058</v>
      </c>
      <c r="B17" s="38">
        <v>900</v>
      </c>
      <c r="C17" s="38">
        <v>30</v>
      </c>
      <c r="D17" s="38">
        <f t="shared" si="0"/>
        <v>3.3333333333333333E-2</v>
      </c>
      <c r="E17" s="38">
        <f t="shared" si="1"/>
        <v>2.4132782857372283E-2</v>
      </c>
      <c r="F17" s="39">
        <f t="shared" si="2"/>
        <v>1.5952352370580264E-3</v>
      </c>
      <c r="G17" s="39" t="str">
        <f t="shared" si="3"/>
        <v xml:space="preserve"> KONTROL DIŞINDA</v>
      </c>
      <c r="H17" s="40" t="s">
        <v>10</v>
      </c>
      <c r="I17" s="41" t="s">
        <v>11</v>
      </c>
    </row>
    <row r="18" spans="1:9" x14ac:dyDescent="0.35">
      <c r="A18" s="37">
        <v>46059</v>
      </c>
      <c r="B18" s="38">
        <v>7</v>
      </c>
      <c r="C18" s="38">
        <v>1</v>
      </c>
      <c r="D18" s="38">
        <f t="shared" si="0"/>
        <v>0.14285714285714285</v>
      </c>
      <c r="E18" s="38">
        <f t="shared" si="1"/>
        <v>0.14063989368570176</v>
      </c>
      <c r="F18" s="39">
        <f t="shared" si="2"/>
        <v>0</v>
      </c>
      <c r="G18" s="39" t="str">
        <f t="shared" si="3"/>
        <v xml:space="preserve"> KONTROL DIŞINDA</v>
      </c>
      <c r="H18" s="40" t="s">
        <v>12</v>
      </c>
      <c r="I18" s="41" t="s">
        <v>11</v>
      </c>
    </row>
    <row r="19" spans="1:9" x14ac:dyDescent="0.35">
      <c r="A19" s="32">
        <v>46062</v>
      </c>
      <c r="B19" s="33">
        <v>25</v>
      </c>
      <c r="C19" s="33">
        <v>2</v>
      </c>
      <c r="D19" s="33">
        <f t="shared" si="0"/>
        <v>0.08</v>
      </c>
      <c r="E19" s="33">
        <f t="shared" si="1"/>
        <v>8.047665190815792E-2</v>
      </c>
      <c r="F19" s="34">
        <f t="shared" si="2"/>
        <v>0</v>
      </c>
      <c r="G19" s="34" t="str">
        <f t="shared" si="3"/>
        <v>KONTROL İÇİNDE</v>
      </c>
      <c r="H19" s="35"/>
      <c r="I19" s="36" t="s">
        <v>9</v>
      </c>
    </row>
    <row r="20" spans="1:9" x14ac:dyDescent="0.35">
      <c r="A20" s="37">
        <v>46063</v>
      </c>
      <c r="B20" s="38">
        <v>4</v>
      </c>
      <c r="C20" s="38">
        <v>1</v>
      </c>
      <c r="D20" s="38">
        <f t="shared" si="0"/>
        <v>0.25</v>
      </c>
      <c r="E20" s="38">
        <f t="shared" si="1"/>
        <v>0.18189561619957209</v>
      </c>
      <c r="F20" s="39">
        <f t="shared" si="2"/>
        <v>0</v>
      </c>
      <c r="G20" s="39" t="str">
        <f t="shared" si="3"/>
        <v xml:space="preserve"> KONTROL DIŞINDA</v>
      </c>
      <c r="H20" s="40" t="s">
        <v>13</v>
      </c>
      <c r="I20" s="41" t="s">
        <v>11</v>
      </c>
    </row>
    <row r="21" spans="1:9" x14ac:dyDescent="0.35">
      <c r="A21" s="32">
        <v>46064</v>
      </c>
      <c r="B21" s="33">
        <v>2</v>
      </c>
      <c r="C21" s="33">
        <v>0</v>
      </c>
      <c r="D21" s="33">
        <f t="shared" si="0"/>
        <v>0</v>
      </c>
      <c r="E21" s="33">
        <f t="shared" si="1"/>
        <v>0.25191080035179936</v>
      </c>
      <c r="F21" s="34">
        <f t="shared" si="2"/>
        <v>0</v>
      </c>
      <c r="G21" s="34" t="str">
        <f t="shared" si="3"/>
        <v>KONTROL İÇİNDE</v>
      </c>
      <c r="H21" s="35"/>
      <c r="I21" s="36" t="s">
        <v>9</v>
      </c>
    </row>
    <row r="22" spans="1:9" x14ac:dyDescent="0.35">
      <c r="A22" s="32">
        <v>46065</v>
      </c>
      <c r="B22" s="33">
        <v>86</v>
      </c>
      <c r="C22" s="33">
        <v>4</v>
      </c>
      <c r="D22" s="33">
        <f t="shared" si="0"/>
        <v>4.6511627906976744E-2</v>
      </c>
      <c r="E22" s="33">
        <f t="shared" si="1"/>
        <v>4.931830296376076E-2</v>
      </c>
      <c r="F22" s="34">
        <f t="shared" si="2"/>
        <v>0</v>
      </c>
      <c r="G22" s="34" t="str">
        <f t="shared" si="3"/>
        <v>KONTROL İÇİNDE</v>
      </c>
      <c r="H22" s="35"/>
      <c r="I22" s="36" t="s">
        <v>9</v>
      </c>
    </row>
    <row r="23" spans="1:9" x14ac:dyDescent="0.35">
      <c r="A23" s="37">
        <v>46066</v>
      </c>
      <c r="B23" s="38">
        <v>16</v>
      </c>
      <c r="C23" s="38">
        <v>2</v>
      </c>
      <c r="D23" s="38">
        <f t="shared" si="0"/>
        <v>0.125</v>
      </c>
      <c r="E23" s="38">
        <f t="shared" si="1"/>
        <v>9.7379812623393625E-2</v>
      </c>
      <c r="F23" s="39">
        <f t="shared" si="2"/>
        <v>0</v>
      </c>
      <c r="G23" s="39" t="str">
        <f t="shared" si="3"/>
        <v xml:space="preserve"> KONTROL DIŞINDA</v>
      </c>
      <c r="H23" s="40" t="s">
        <v>10</v>
      </c>
      <c r="I23" s="41" t="s">
        <v>11</v>
      </c>
    </row>
    <row r="24" spans="1:9" x14ac:dyDescent="0.35">
      <c r="A24" s="37">
        <v>46069</v>
      </c>
      <c r="B24" s="38">
        <v>7</v>
      </c>
      <c r="C24" s="38">
        <v>1</v>
      </c>
      <c r="D24" s="38">
        <f t="shared" si="0"/>
        <v>0.14285714285714285</v>
      </c>
      <c r="E24" s="38">
        <f t="shared" si="1"/>
        <v>0.14063989368570176</v>
      </c>
      <c r="F24" s="39">
        <f t="shared" si="2"/>
        <v>0</v>
      </c>
      <c r="G24" s="39" t="str">
        <f t="shared" si="3"/>
        <v xml:space="preserve"> KONTROL DIŞINDA</v>
      </c>
      <c r="H24" s="40" t="s">
        <v>12</v>
      </c>
      <c r="I24" s="41" t="s">
        <v>11</v>
      </c>
    </row>
    <row r="25" spans="1:9" x14ac:dyDescent="0.35">
      <c r="A25" s="32">
        <v>46070</v>
      </c>
      <c r="B25" s="33">
        <v>889</v>
      </c>
      <c r="C25" s="33">
        <v>20</v>
      </c>
      <c r="D25" s="33">
        <f t="shared" si="0"/>
        <v>2.2497187851518559E-2</v>
      </c>
      <c r="E25" s="33">
        <f t="shared" si="1"/>
        <v>2.4202285345251505E-2</v>
      </c>
      <c r="F25" s="34">
        <f t="shared" si="2"/>
        <v>1.5257327491788025E-3</v>
      </c>
      <c r="G25" s="34" t="str">
        <f t="shared" si="3"/>
        <v>KONTROL İÇİNDE</v>
      </c>
      <c r="H25" s="35"/>
      <c r="I25" s="36" t="s">
        <v>9</v>
      </c>
    </row>
    <row r="26" spans="1:9" x14ac:dyDescent="0.35">
      <c r="A26" s="37">
        <v>46071</v>
      </c>
      <c r="B26" s="38">
        <v>90</v>
      </c>
      <c r="C26" s="38">
        <v>45</v>
      </c>
      <c r="D26" s="38">
        <f t="shared" si="0"/>
        <v>0.5</v>
      </c>
      <c r="E26" s="38">
        <f t="shared" si="1"/>
        <v>4.8499000724565547E-2</v>
      </c>
      <c r="F26" s="39">
        <f t="shared" si="2"/>
        <v>0</v>
      </c>
      <c r="G26" s="39" t="str">
        <f t="shared" si="3"/>
        <v xml:space="preserve"> KONTROL DIŞINDA</v>
      </c>
      <c r="H26" s="40" t="s">
        <v>13</v>
      </c>
      <c r="I26" s="41" t="s">
        <v>11</v>
      </c>
    </row>
    <row r="27" spans="1:9" x14ac:dyDescent="0.35">
      <c r="A27" s="37">
        <v>46072</v>
      </c>
      <c r="B27" s="38">
        <v>8</v>
      </c>
      <c r="C27" s="38">
        <v>7</v>
      </c>
      <c r="D27" s="38">
        <f t="shared" si="0"/>
        <v>0.875</v>
      </c>
      <c r="E27" s="38">
        <f t="shared" si="1"/>
        <v>0.13238740469950727</v>
      </c>
      <c r="F27" s="39">
        <f t="shared" si="2"/>
        <v>0</v>
      </c>
      <c r="G27" s="39" t="str">
        <f t="shared" si="3"/>
        <v xml:space="preserve"> KONTROL DIŞINDA</v>
      </c>
      <c r="H27" s="40" t="s">
        <v>13</v>
      </c>
      <c r="I27" s="41" t="s">
        <v>11</v>
      </c>
    </row>
    <row r="28" spans="1:9" x14ac:dyDescent="0.35">
      <c r="A28" s="32">
        <v>46076</v>
      </c>
      <c r="B28" s="33">
        <v>277</v>
      </c>
      <c r="C28" s="33">
        <v>8</v>
      </c>
      <c r="D28" s="33">
        <f t="shared" si="0"/>
        <v>2.8880866425992781E-2</v>
      </c>
      <c r="E28" s="33">
        <f t="shared" si="1"/>
        <v>3.317625898933918E-2</v>
      </c>
      <c r="F28" s="34">
        <f t="shared" si="2"/>
        <v>0</v>
      </c>
      <c r="G28" s="34" t="str">
        <f t="shared" si="3"/>
        <v>KONTROL İÇİNDE</v>
      </c>
      <c r="H28" s="35"/>
      <c r="I28" s="36" t="s">
        <v>9</v>
      </c>
    </row>
    <row r="29" spans="1:9" x14ac:dyDescent="0.35">
      <c r="A29" s="37">
        <v>46077</v>
      </c>
      <c r="B29" s="38">
        <v>5</v>
      </c>
      <c r="C29" s="38">
        <v>3</v>
      </c>
      <c r="D29" s="38">
        <f t="shared" si="0"/>
        <v>0.6</v>
      </c>
      <c r="E29" s="38">
        <f t="shared" si="1"/>
        <v>0.16405047462269906</v>
      </c>
      <c r="F29" s="39">
        <f t="shared" si="2"/>
        <v>0</v>
      </c>
      <c r="G29" s="39" t="str">
        <f t="shared" si="3"/>
        <v xml:space="preserve"> KONTROL DIŞINDA</v>
      </c>
      <c r="H29" s="40" t="s">
        <v>13</v>
      </c>
      <c r="I29" s="41" t="s">
        <v>11</v>
      </c>
    </row>
    <row r="30" spans="1:9" x14ac:dyDescent="0.35">
      <c r="A30" s="37">
        <v>46078</v>
      </c>
      <c r="B30" s="38">
        <v>677</v>
      </c>
      <c r="C30" s="38">
        <v>20</v>
      </c>
      <c r="D30" s="38">
        <f t="shared" si="0"/>
        <v>2.9542097488921712E-2</v>
      </c>
      <c r="E30" s="38">
        <f t="shared" si="1"/>
        <v>2.5856833840513849E-2</v>
      </c>
      <c r="F30" s="39">
        <f t="shared" si="2"/>
        <v>0</v>
      </c>
      <c r="G30" s="39" t="str">
        <f t="shared" si="3"/>
        <v xml:space="preserve"> KONTROL DIŞINDA</v>
      </c>
      <c r="H30" s="40" t="s">
        <v>14</v>
      </c>
      <c r="I30" s="41" t="s">
        <v>11</v>
      </c>
    </row>
    <row r="31" spans="1:9" x14ac:dyDescent="0.35">
      <c r="A31" s="21"/>
      <c r="B31">
        <f>SUM(B2:B30)</f>
        <v>8788</v>
      </c>
      <c r="C31">
        <f>SUM(C2:C30)</f>
        <v>201</v>
      </c>
      <c r="D31">
        <f t="shared" si="0"/>
        <v>2.2872098315885298E-2</v>
      </c>
      <c r="F31" s="15"/>
      <c r="G31" s="15"/>
    </row>
    <row r="32" spans="1:9" x14ac:dyDescent="0.35">
      <c r="A32" s="42" t="s">
        <v>15</v>
      </c>
      <c r="D32" s="43">
        <f>SUMPRODUCT(($I$2:$I$30="Evet")*$C$2:$C$30)/SUMPRODUCT(($I$2:$I$30="Evet")*$B$2:$B$30)</f>
        <v>1.2864009047215155E-2</v>
      </c>
      <c r="F32" s="15"/>
      <c r="G32" s="15"/>
    </row>
    <row r="33" spans="1:8" x14ac:dyDescent="0.35">
      <c r="A33" s="44" t="s">
        <v>16</v>
      </c>
      <c r="F33" s="15"/>
      <c r="G33" s="15"/>
    </row>
    <row r="34" spans="1:8" x14ac:dyDescent="0.35">
      <c r="A34" s="21"/>
      <c r="F34" s="15"/>
      <c r="G34" s="15"/>
    </row>
    <row r="35" spans="1:8" x14ac:dyDescent="0.35">
      <c r="A35" s="21"/>
      <c r="F35" s="15"/>
      <c r="G35" s="15"/>
    </row>
    <row r="36" spans="1:8" ht="15.5" x14ac:dyDescent="0.35">
      <c r="A36" s="45" t="s">
        <v>17</v>
      </c>
      <c r="F36" s="15"/>
      <c r="G36" s="15"/>
    </row>
    <row r="37" spans="1:8" ht="30" customHeight="1" x14ac:dyDescent="0.35">
      <c r="A37" s="46" t="s">
        <v>18</v>
      </c>
      <c r="B37" s="31" t="s">
        <v>1</v>
      </c>
      <c r="C37" s="31" t="s">
        <v>19</v>
      </c>
      <c r="D37" s="31" t="s">
        <v>3</v>
      </c>
      <c r="E37" s="31" t="s">
        <v>4</v>
      </c>
      <c r="F37" s="31" t="s">
        <v>20</v>
      </c>
      <c r="G37" s="31" t="s">
        <v>5</v>
      </c>
    </row>
    <row r="38" spans="1:8" x14ac:dyDescent="0.35">
      <c r="A38" s="47">
        <f t="shared" ref="A38:C52" si="4">A2</f>
        <v>46029</v>
      </c>
      <c r="B38" s="48">
        <f t="shared" si="4"/>
        <v>500</v>
      </c>
      <c r="C38" s="48">
        <f t="shared" si="4"/>
        <v>5</v>
      </c>
      <c r="D38" s="48">
        <f t="shared" ref="D38:D57" si="5">C38/B38</f>
        <v>0.01</v>
      </c>
      <c r="E38" s="48">
        <f t="shared" ref="E38:E57" si="6">$D$32+3*SQRT($D$32*(1-$D$32)/B38)</f>
        <v>2.7982655604763547E-2</v>
      </c>
      <c r="F38" s="49">
        <f t="shared" ref="F38:F57" si="7">$D$32</f>
        <v>1.2864009047215155E-2</v>
      </c>
      <c r="G38" s="49">
        <f t="shared" ref="G38:G57" si="8">MAX(0,$D$32-3*SQRT($D$32*(1-$D$32)/B38))</f>
        <v>0</v>
      </c>
    </row>
    <row r="39" spans="1:8" x14ac:dyDescent="0.35">
      <c r="A39" s="47">
        <f t="shared" si="4"/>
        <v>46030</v>
      </c>
      <c r="B39" s="48">
        <f t="shared" si="4"/>
        <v>500</v>
      </c>
      <c r="C39" s="48">
        <f t="shared" si="4"/>
        <v>2</v>
      </c>
      <c r="D39" s="48">
        <f t="shared" si="5"/>
        <v>4.0000000000000001E-3</v>
      </c>
      <c r="E39" s="48">
        <f t="shared" si="6"/>
        <v>2.7982655604763547E-2</v>
      </c>
      <c r="F39" s="49">
        <f t="shared" si="7"/>
        <v>1.2864009047215155E-2</v>
      </c>
      <c r="G39" s="49">
        <f t="shared" si="8"/>
        <v>0</v>
      </c>
    </row>
    <row r="40" spans="1:8" x14ac:dyDescent="0.35">
      <c r="A40" s="47">
        <f t="shared" si="4"/>
        <v>46031</v>
      </c>
      <c r="B40" s="48">
        <f t="shared" si="4"/>
        <v>500</v>
      </c>
      <c r="C40" s="48">
        <f t="shared" si="4"/>
        <v>3</v>
      </c>
      <c r="D40" s="48">
        <f t="shared" si="5"/>
        <v>6.0000000000000001E-3</v>
      </c>
      <c r="E40" s="48">
        <f t="shared" si="6"/>
        <v>2.7982655604763547E-2</v>
      </c>
      <c r="F40" s="49">
        <f t="shared" si="7"/>
        <v>1.2864009047215155E-2</v>
      </c>
      <c r="G40" s="49">
        <f t="shared" si="8"/>
        <v>0</v>
      </c>
    </row>
    <row r="41" spans="1:8" x14ac:dyDescent="0.35">
      <c r="A41" s="47">
        <f t="shared" si="4"/>
        <v>46035</v>
      </c>
      <c r="B41" s="48">
        <f t="shared" si="4"/>
        <v>300</v>
      </c>
      <c r="C41" s="48">
        <f t="shared" si="4"/>
        <v>3</v>
      </c>
      <c r="D41" s="48">
        <f t="shared" si="5"/>
        <v>0.01</v>
      </c>
      <c r="E41" s="48">
        <f t="shared" si="6"/>
        <v>3.2382097825408823E-2</v>
      </c>
      <c r="F41" s="49">
        <f t="shared" si="7"/>
        <v>1.2864009047215155E-2</v>
      </c>
      <c r="G41" s="49">
        <f t="shared" si="8"/>
        <v>0</v>
      </c>
    </row>
    <row r="42" spans="1:8" x14ac:dyDescent="0.35">
      <c r="A42" s="47">
        <f t="shared" si="4"/>
        <v>46037</v>
      </c>
      <c r="B42" s="48">
        <f t="shared" si="4"/>
        <v>500</v>
      </c>
      <c r="C42" s="48">
        <f t="shared" si="4"/>
        <v>3</v>
      </c>
      <c r="D42" s="48">
        <f t="shared" si="5"/>
        <v>6.0000000000000001E-3</v>
      </c>
      <c r="E42" s="48">
        <f t="shared" si="6"/>
        <v>2.7982655604763547E-2</v>
      </c>
      <c r="F42" s="49">
        <f t="shared" si="7"/>
        <v>1.2864009047215155E-2</v>
      </c>
      <c r="G42" s="49">
        <f t="shared" si="8"/>
        <v>0</v>
      </c>
    </row>
    <row r="43" spans="1:8" x14ac:dyDescent="0.35">
      <c r="A43" s="47">
        <f t="shared" si="4"/>
        <v>46038</v>
      </c>
      <c r="B43" s="48">
        <f t="shared" si="4"/>
        <v>400</v>
      </c>
      <c r="C43" s="48">
        <f t="shared" si="4"/>
        <v>3</v>
      </c>
      <c r="D43" s="48">
        <f t="shared" si="5"/>
        <v>7.4999999999999997E-3</v>
      </c>
      <c r="E43" s="48">
        <f t="shared" si="6"/>
        <v>2.9767169762450845E-2</v>
      </c>
      <c r="F43" s="49">
        <f t="shared" si="7"/>
        <v>1.2864009047215155E-2</v>
      </c>
      <c r="G43" s="49">
        <f t="shared" si="8"/>
        <v>0</v>
      </c>
    </row>
    <row r="44" spans="1:8" x14ac:dyDescent="0.35">
      <c r="A44" s="47">
        <f t="shared" si="4"/>
        <v>46041</v>
      </c>
      <c r="B44" s="48">
        <f t="shared" si="4"/>
        <v>199</v>
      </c>
      <c r="C44" s="48">
        <f t="shared" si="4"/>
        <v>3</v>
      </c>
      <c r="D44" s="48">
        <f t="shared" si="5"/>
        <v>1.507537688442211E-2</v>
      </c>
      <c r="E44" s="48">
        <f t="shared" si="6"/>
        <v>3.682867491974684E-2</v>
      </c>
      <c r="F44" s="49">
        <f t="shared" si="7"/>
        <v>1.2864009047215155E-2</v>
      </c>
      <c r="G44" s="49">
        <f t="shared" si="8"/>
        <v>0</v>
      </c>
    </row>
    <row r="45" spans="1:8" x14ac:dyDescent="0.35">
      <c r="A45" s="47">
        <f t="shared" si="4"/>
        <v>46043</v>
      </c>
      <c r="B45" s="48">
        <f t="shared" si="4"/>
        <v>300</v>
      </c>
      <c r="C45" s="48">
        <f t="shared" si="4"/>
        <v>2</v>
      </c>
      <c r="D45" s="48">
        <f t="shared" si="5"/>
        <v>6.6666666666666671E-3</v>
      </c>
      <c r="E45" s="48">
        <f t="shared" si="6"/>
        <v>3.2382097825408823E-2</v>
      </c>
      <c r="F45" s="49">
        <f t="shared" si="7"/>
        <v>1.2864009047215155E-2</v>
      </c>
      <c r="G45" s="49">
        <f t="shared" si="8"/>
        <v>0</v>
      </c>
    </row>
    <row r="46" spans="1:8" x14ac:dyDescent="0.35">
      <c r="A46" s="47">
        <f t="shared" si="4"/>
        <v>46045</v>
      </c>
      <c r="B46" s="48">
        <f t="shared" si="4"/>
        <v>300</v>
      </c>
      <c r="C46" s="48">
        <f t="shared" si="4"/>
        <v>2</v>
      </c>
      <c r="D46" s="48">
        <f t="shared" si="5"/>
        <v>6.6666666666666671E-3</v>
      </c>
      <c r="E46" s="48">
        <f t="shared" si="6"/>
        <v>3.2382097825408823E-2</v>
      </c>
      <c r="F46" s="49">
        <f t="shared" si="7"/>
        <v>1.2864009047215155E-2</v>
      </c>
      <c r="G46" s="49">
        <f t="shared" si="8"/>
        <v>0</v>
      </c>
    </row>
    <row r="47" spans="1:8" x14ac:dyDescent="0.35">
      <c r="A47" s="47">
        <f t="shared" si="4"/>
        <v>46048</v>
      </c>
      <c r="B47" s="48">
        <f t="shared" si="4"/>
        <v>200</v>
      </c>
      <c r="C47" s="48">
        <f t="shared" si="4"/>
        <v>2</v>
      </c>
      <c r="D47" s="48">
        <f t="shared" si="5"/>
        <v>0.01</v>
      </c>
      <c r="E47" s="48">
        <f t="shared" si="6"/>
        <v>3.6768688177673578E-2</v>
      </c>
      <c r="F47" s="49">
        <f t="shared" si="7"/>
        <v>1.2864009047215155E-2</v>
      </c>
      <c r="G47" s="49">
        <f t="shared" si="8"/>
        <v>0</v>
      </c>
      <c r="H47" s="6"/>
    </row>
    <row r="48" spans="1:8" x14ac:dyDescent="0.35">
      <c r="A48" s="47">
        <f t="shared" si="4"/>
        <v>46050</v>
      </c>
      <c r="B48" s="48">
        <f t="shared" si="4"/>
        <v>300</v>
      </c>
      <c r="C48" s="48">
        <f t="shared" si="4"/>
        <v>6</v>
      </c>
      <c r="D48" s="48">
        <f t="shared" si="5"/>
        <v>0.02</v>
      </c>
      <c r="E48" s="48">
        <f t="shared" si="6"/>
        <v>3.2382097825408823E-2</v>
      </c>
      <c r="F48" s="49">
        <f t="shared" si="7"/>
        <v>1.2864009047215155E-2</v>
      </c>
      <c r="G48" s="49">
        <f t="shared" si="8"/>
        <v>0</v>
      </c>
    </row>
    <row r="49" spans="1:7" x14ac:dyDescent="0.35">
      <c r="A49" s="47">
        <f t="shared" si="4"/>
        <v>46052</v>
      </c>
      <c r="B49" s="48">
        <f t="shared" si="4"/>
        <v>399</v>
      </c>
      <c r="C49" s="48">
        <f t="shared" si="4"/>
        <v>7</v>
      </c>
      <c r="D49" s="48">
        <f t="shared" si="5"/>
        <v>1.7543859649122806E-2</v>
      </c>
      <c r="E49" s="48">
        <f t="shared" si="6"/>
        <v>2.9788338412843736E-2</v>
      </c>
      <c r="F49" s="49">
        <f t="shared" si="7"/>
        <v>1.2864009047215155E-2</v>
      </c>
      <c r="G49" s="49">
        <f t="shared" si="8"/>
        <v>0</v>
      </c>
    </row>
    <row r="50" spans="1:7" x14ac:dyDescent="0.35">
      <c r="A50" s="47">
        <f t="shared" si="4"/>
        <v>46055</v>
      </c>
      <c r="B50" s="48">
        <f t="shared" si="4"/>
        <v>399</v>
      </c>
      <c r="C50" s="48">
        <f t="shared" si="4"/>
        <v>8</v>
      </c>
      <c r="D50" s="48">
        <f t="shared" si="5"/>
        <v>2.0050125313283207E-2</v>
      </c>
      <c r="E50" s="48">
        <f t="shared" si="6"/>
        <v>2.9788338412843736E-2</v>
      </c>
      <c r="F50" s="49">
        <f t="shared" si="7"/>
        <v>1.2864009047215155E-2</v>
      </c>
      <c r="G50" s="49">
        <f t="shared" si="8"/>
        <v>0</v>
      </c>
    </row>
    <row r="51" spans="1:7" x14ac:dyDescent="0.35">
      <c r="A51" s="47">
        <f t="shared" si="4"/>
        <v>46056</v>
      </c>
      <c r="B51" s="48">
        <f t="shared" si="4"/>
        <v>499</v>
      </c>
      <c r="C51" s="48">
        <f t="shared" si="4"/>
        <v>4</v>
      </c>
      <c r="D51" s="48">
        <f t="shared" si="5"/>
        <v>8.0160320641282558E-3</v>
      </c>
      <c r="E51" s="48">
        <f t="shared" si="6"/>
        <v>2.799779696715381E-2</v>
      </c>
      <c r="F51" s="49">
        <f t="shared" si="7"/>
        <v>1.2864009047215155E-2</v>
      </c>
      <c r="G51" s="49">
        <f t="shared" si="8"/>
        <v>0</v>
      </c>
    </row>
    <row r="52" spans="1:7" x14ac:dyDescent="0.35">
      <c r="A52" s="47">
        <f t="shared" si="4"/>
        <v>46057</v>
      </c>
      <c r="B52" s="48">
        <f t="shared" si="4"/>
        <v>499</v>
      </c>
      <c r="C52" s="48">
        <f t="shared" si="4"/>
        <v>4</v>
      </c>
      <c r="D52" s="48">
        <f t="shared" si="5"/>
        <v>8.0160320641282558E-3</v>
      </c>
      <c r="E52" s="48">
        <f t="shared" si="6"/>
        <v>2.799779696715381E-2</v>
      </c>
      <c r="F52" s="49">
        <f t="shared" si="7"/>
        <v>1.2864009047215155E-2</v>
      </c>
      <c r="G52" s="49">
        <f t="shared" si="8"/>
        <v>0</v>
      </c>
    </row>
    <row r="53" spans="1:7" x14ac:dyDescent="0.35">
      <c r="A53" s="47">
        <f>A19</f>
        <v>46062</v>
      </c>
      <c r="B53" s="48">
        <f>B19</f>
        <v>25</v>
      </c>
      <c r="C53" s="48">
        <f>C19</f>
        <v>2</v>
      </c>
      <c r="D53" s="48">
        <f t="shared" si="5"/>
        <v>0.08</v>
      </c>
      <c r="E53" s="48">
        <f t="shared" si="6"/>
        <v>8.047665190815792E-2</v>
      </c>
      <c r="F53" s="49">
        <f t="shared" si="7"/>
        <v>1.2864009047215155E-2</v>
      </c>
      <c r="G53" s="49">
        <f t="shared" si="8"/>
        <v>0</v>
      </c>
    </row>
    <row r="54" spans="1:7" x14ac:dyDescent="0.35">
      <c r="A54" s="47">
        <f t="shared" ref="A54:C55" si="9">A21</f>
        <v>46064</v>
      </c>
      <c r="B54" s="48">
        <f t="shared" si="9"/>
        <v>2</v>
      </c>
      <c r="C54" s="48">
        <f t="shared" si="9"/>
        <v>0</v>
      </c>
      <c r="D54" s="48">
        <f t="shared" si="5"/>
        <v>0</v>
      </c>
      <c r="E54" s="48">
        <f t="shared" si="6"/>
        <v>0.25191080035179936</v>
      </c>
      <c r="F54" s="49">
        <f t="shared" si="7"/>
        <v>1.2864009047215155E-2</v>
      </c>
      <c r="G54" s="49">
        <f t="shared" si="8"/>
        <v>0</v>
      </c>
    </row>
    <row r="55" spans="1:7" x14ac:dyDescent="0.35">
      <c r="A55" s="47">
        <f t="shared" si="9"/>
        <v>46065</v>
      </c>
      <c r="B55" s="48">
        <f t="shared" si="9"/>
        <v>86</v>
      </c>
      <c r="C55" s="48">
        <f t="shared" si="9"/>
        <v>4</v>
      </c>
      <c r="D55" s="48">
        <f t="shared" si="5"/>
        <v>4.6511627906976744E-2</v>
      </c>
      <c r="E55" s="48">
        <f t="shared" si="6"/>
        <v>4.931830296376076E-2</v>
      </c>
      <c r="F55" s="49">
        <f t="shared" si="7"/>
        <v>1.2864009047215155E-2</v>
      </c>
      <c r="G55" s="49">
        <f t="shared" si="8"/>
        <v>0</v>
      </c>
    </row>
    <row r="56" spans="1:7" x14ac:dyDescent="0.35">
      <c r="A56" s="47">
        <f>A25</f>
        <v>46070</v>
      </c>
      <c r="B56" s="48">
        <f>B25</f>
        <v>889</v>
      </c>
      <c r="C56" s="48">
        <f>C25</f>
        <v>20</v>
      </c>
      <c r="D56" s="48">
        <f t="shared" si="5"/>
        <v>2.2497187851518559E-2</v>
      </c>
      <c r="E56" s="48">
        <f t="shared" si="6"/>
        <v>2.4202285345251505E-2</v>
      </c>
      <c r="F56" s="49">
        <f t="shared" si="7"/>
        <v>1.2864009047215155E-2</v>
      </c>
      <c r="G56" s="49">
        <f t="shared" si="8"/>
        <v>1.5257327491788025E-3</v>
      </c>
    </row>
    <row r="57" spans="1:7" x14ac:dyDescent="0.35">
      <c r="A57" s="47">
        <f>A28</f>
        <v>46076</v>
      </c>
      <c r="B57" s="48">
        <f>B28</f>
        <v>277</v>
      </c>
      <c r="C57" s="48">
        <f>C28</f>
        <v>8</v>
      </c>
      <c r="D57" s="48">
        <f t="shared" si="5"/>
        <v>2.8880866425992781E-2</v>
      </c>
      <c r="E57" s="48">
        <f t="shared" si="6"/>
        <v>3.317625898933918E-2</v>
      </c>
      <c r="F57" s="49">
        <f t="shared" si="7"/>
        <v>1.2864009047215155E-2</v>
      </c>
      <c r="G57" s="49">
        <f t="shared" si="8"/>
        <v>0</v>
      </c>
    </row>
    <row r="58" spans="1:7" x14ac:dyDescent="0.35">
      <c r="A58" s="21"/>
      <c r="F58" s="15"/>
      <c r="G58" s="15"/>
    </row>
    <row r="59" spans="1:7" x14ac:dyDescent="0.35">
      <c r="A59" s="21"/>
      <c r="F59" s="15"/>
      <c r="G59" s="15"/>
    </row>
    <row r="60" spans="1:7" x14ac:dyDescent="0.35">
      <c r="A60" s="21"/>
      <c r="F60" s="15"/>
      <c r="G60" s="15"/>
    </row>
    <row r="61" spans="1:7" x14ac:dyDescent="0.35">
      <c r="A61" s="21"/>
      <c r="F61" s="15"/>
      <c r="G61" s="15"/>
    </row>
    <row r="62" spans="1:7" x14ac:dyDescent="0.35">
      <c r="A62" s="21"/>
      <c r="F62" s="15"/>
      <c r="G62" s="15"/>
    </row>
    <row r="63" spans="1:7" x14ac:dyDescent="0.35">
      <c r="A63" s="21"/>
      <c r="F63" s="15"/>
      <c r="G63" s="15"/>
    </row>
    <row r="64" spans="1:7" x14ac:dyDescent="0.35">
      <c r="A64" s="21"/>
      <c r="F64" s="15"/>
      <c r="G64" s="15"/>
    </row>
    <row r="65" spans="1:7" x14ac:dyDescent="0.35">
      <c r="A65" s="21"/>
      <c r="F65" s="15"/>
      <c r="G65" s="15"/>
    </row>
    <row r="66" spans="1:7" x14ac:dyDescent="0.35">
      <c r="A66" s="21"/>
      <c r="F66" s="15"/>
      <c r="G66" s="15"/>
    </row>
    <row r="67" spans="1:7" x14ac:dyDescent="0.35">
      <c r="A67" s="21"/>
      <c r="F67" s="15"/>
      <c r="G67" s="15"/>
    </row>
    <row r="68" spans="1:7" x14ac:dyDescent="0.35">
      <c r="A68" s="21"/>
      <c r="F68" s="15"/>
      <c r="G68" s="15"/>
    </row>
    <row r="69" spans="1:7" x14ac:dyDescent="0.35">
      <c r="A69" s="21"/>
      <c r="F69" s="15"/>
      <c r="G69" s="15"/>
    </row>
    <row r="70" spans="1:7" x14ac:dyDescent="0.35">
      <c r="A70" s="21"/>
      <c r="F70" s="15"/>
      <c r="G70" s="15"/>
    </row>
    <row r="71" spans="1:7" x14ac:dyDescent="0.35">
      <c r="A71" s="21"/>
      <c r="F71" s="15"/>
      <c r="G71" s="15"/>
    </row>
    <row r="72" spans="1:7" x14ac:dyDescent="0.35">
      <c r="A72" s="21"/>
      <c r="F72" s="15"/>
      <c r="G72" s="15"/>
    </row>
    <row r="73" spans="1:7" x14ac:dyDescent="0.35">
      <c r="A73" s="21"/>
      <c r="F73" s="15"/>
      <c r="G73" s="15"/>
    </row>
    <row r="74" spans="1:7" x14ac:dyDescent="0.35">
      <c r="A74" s="21"/>
      <c r="F74" s="15"/>
      <c r="G74" s="15"/>
    </row>
    <row r="75" spans="1:7" x14ac:dyDescent="0.35">
      <c r="A75" s="21"/>
      <c r="F75" s="15"/>
      <c r="G75" s="15"/>
    </row>
    <row r="76" spans="1:7" x14ac:dyDescent="0.35">
      <c r="A76" s="21"/>
      <c r="F76" s="15"/>
      <c r="G76" s="15"/>
    </row>
    <row r="77" spans="1:7" x14ac:dyDescent="0.35">
      <c r="A77" s="21"/>
      <c r="F77" s="15"/>
      <c r="G77" s="15"/>
    </row>
    <row r="78" spans="1:7" x14ac:dyDescent="0.35">
      <c r="A78" s="21"/>
      <c r="F78" s="15"/>
      <c r="G78" s="15"/>
    </row>
    <row r="79" spans="1:7" x14ac:dyDescent="0.35">
      <c r="A79" s="21"/>
      <c r="F79" s="15"/>
      <c r="G79" s="15"/>
    </row>
    <row r="80" spans="1:7" x14ac:dyDescent="0.35">
      <c r="A80" s="21"/>
      <c r="F80" s="15"/>
      <c r="G80" s="15"/>
    </row>
    <row r="81" spans="1:7" x14ac:dyDescent="0.35">
      <c r="A81" s="21"/>
      <c r="F81" s="15"/>
      <c r="G81" s="15"/>
    </row>
    <row r="82" spans="1:7" x14ac:dyDescent="0.35">
      <c r="A82" s="21"/>
      <c r="F82" s="15"/>
      <c r="G82" s="15"/>
    </row>
    <row r="83" spans="1:7" x14ac:dyDescent="0.35">
      <c r="A83" s="21"/>
      <c r="F83" s="15"/>
      <c r="G83" s="15"/>
    </row>
    <row r="84" spans="1:7" x14ac:dyDescent="0.35">
      <c r="A84" s="21"/>
      <c r="F84" s="15"/>
      <c r="G84" s="15"/>
    </row>
    <row r="85" spans="1:7" x14ac:dyDescent="0.35">
      <c r="A85" s="21"/>
      <c r="F85" s="15"/>
      <c r="G85" s="15"/>
    </row>
    <row r="86" spans="1:7" x14ac:dyDescent="0.35">
      <c r="A86" s="21"/>
      <c r="F86" s="15"/>
      <c r="G86" s="15"/>
    </row>
    <row r="87" spans="1:7" x14ac:dyDescent="0.35">
      <c r="A87" s="21"/>
      <c r="F87" s="15"/>
      <c r="G87" s="15"/>
    </row>
    <row r="88" spans="1:7" x14ac:dyDescent="0.35">
      <c r="A88" s="21"/>
      <c r="F88" s="15"/>
      <c r="G88" s="15"/>
    </row>
    <row r="89" spans="1:7" x14ac:dyDescent="0.35">
      <c r="A89" s="21"/>
      <c r="F89" s="15"/>
      <c r="G89" s="15"/>
    </row>
    <row r="90" spans="1:7" x14ac:dyDescent="0.35">
      <c r="A90" s="21"/>
      <c r="F90" s="15"/>
      <c r="G90" s="15"/>
    </row>
    <row r="91" spans="1:7" x14ac:dyDescent="0.35">
      <c r="A91" s="21"/>
      <c r="F91" s="15"/>
      <c r="G91" s="15"/>
    </row>
    <row r="92" spans="1:7" x14ac:dyDescent="0.35">
      <c r="A92" s="21"/>
      <c r="F92" s="15"/>
      <c r="G92" s="15"/>
    </row>
    <row r="93" spans="1:7" x14ac:dyDescent="0.35">
      <c r="A93" s="21"/>
      <c r="F93" s="15"/>
      <c r="G93" s="15"/>
    </row>
    <row r="94" spans="1:7" x14ac:dyDescent="0.35">
      <c r="A94" s="21"/>
      <c r="F94" s="15"/>
      <c r="G94" s="15"/>
    </row>
    <row r="95" spans="1:7" x14ac:dyDescent="0.35">
      <c r="A95" s="21"/>
      <c r="F95" s="15"/>
      <c r="G95" s="15"/>
    </row>
    <row r="96" spans="1:7" x14ac:dyDescent="0.35">
      <c r="A96" s="21"/>
      <c r="F96" s="15"/>
      <c r="G96" s="15"/>
    </row>
    <row r="97" spans="1:7" x14ac:dyDescent="0.35">
      <c r="A97" s="21"/>
      <c r="F97" s="15"/>
      <c r="G97" s="15"/>
    </row>
    <row r="98" spans="1:7" x14ac:dyDescent="0.35">
      <c r="A98" s="21"/>
      <c r="F98" s="15"/>
      <c r="G98" s="15"/>
    </row>
    <row r="99" spans="1:7" x14ac:dyDescent="0.35">
      <c r="A99" s="21"/>
      <c r="F99" s="15"/>
      <c r="G99" s="15"/>
    </row>
    <row r="100" spans="1:7" x14ac:dyDescent="0.35">
      <c r="A100" s="21"/>
      <c r="F100" s="15"/>
      <c r="G100" s="15"/>
    </row>
    <row r="101" spans="1:7" x14ac:dyDescent="0.35">
      <c r="A101" s="21"/>
      <c r="F101" s="15"/>
      <c r="G101" s="15"/>
    </row>
    <row r="102" spans="1:7" x14ac:dyDescent="0.35">
      <c r="A102" s="21"/>
      <c r="F102" s="15"/>
      <c r="G102" s="15"/>
    </row>
    <row r="103" spans="1:7" x14ac:dyDescent="0.35">
      <c r="A103" s="21"/>
      <c r="F103" s="15"/>
      <c r="G103" s="15"/>
    </row>
    <row r="104" spans="1:7" x14ac:dyDescent="0.35">
      <c r="A104" s="21"/>
      <c r="F104" s="15"/>
      <c r="G104" s="15"/>
    </row>
    <row r="105" spans="1:7" x14ac:dyDescent="0.35">
      <c r="A105" s="21"/>
      <c r="F105" s="15"/>
      <c r="G105" s="15"/>
    </row>
    <row r="106" spans="1:7" x14ac:dyDescent="0.35">
      <c r="A106" s="21"/>
      <c r="F106" s="15"/>
      <c r="G106" s="15"/>
    </row>
    <row r="107" spans="1:7" x14ac:dyDescent="0.35">
      <c r="A107" s="21"/>
      <c r="F107" s="15"/>
      <c r="G107" s="15"/>
    </row>
    <row r="108" spans="1:7" x14ac:dyDescent="0.35">
      <c r="A108" s="21"/>
      <c r="F108" s="15"/>
      <c r="G108" s="15"/>
    </row>
    <row r="109" spans="1:7" x14ac:dyDescent="0.35">
      <c r="A109" s="21"/>
      <c r="F109" s="15"/>
      <c r="G109" s="15"/>
    </row>
    <row r="110" spans="1:7" x14ac:dyDescent="0.35">
      <c r="A110" s="21"/>
      <c r="F110" s="15"/>
      <c r="G110" s="15"/>
    </row>
    <row r="111" spans="1:7" x14ac:dyDescent="0.35">
      <c r="A111" s="21"/>
      <c r="F111" s="15"/>
      <c r="G111" s="15"/>
    </row>
    <row r="112" spans="1:7" x14ac:dyDescent="0.35">
      <c r="A112" s="21"/>
      <c r="F112" s="15"/>
      <c r="G112" s="15"/>
    </row>
    <row r="113" spans="1:7" x14ac:dyDescent="0.35">
      <c r="A113" s="21"/>
      <c r="F113" s="15"/>
      <c r="G113" s="15"/>
    </row>
    <row r="114" spans="1:7" x14ac:dyDescent="0.35">
      <c r="A114" s="21"/>
      <c r="F114" s="15"/>
      <c r="G114" s="15"/>
    </row>
    <row r="115" spans="1:7" x14ac:dyDescent="0.35">
      <c r="A115" s="21"/>
      <c r="F115" s="15"/>
      <c r="G115" s="15"/>
    </row>
    <row r="116" spans="1:7" x14ac:dyDescent="0.35">
      <c r="A116" s="21"/>
      <c r="F116" s="15"/>
      <c r="G116" s="15"/>
    </row>
    <row r="117" spans="1:7" x14ac:dyDescent="0.35">
      <c r="A117" s="21"/>
      <c r="F117" s="15"/>
      <c r="G117" s="15"/>
    </row>
    <row r="118" spans="1:7" x14ac:dyDescent="0.35">
      <c r="A118" s="21"/>
      <c r="F118" s="15"/>
      <c r="G118" s="15"/>
    </row>
    <row r="119" spans="1:7" x14ac:dyDescent="0.35">
      <c r="A119" s="21"/>
      <c r="F119" s="15"/>
      <c r="G119" s="15"/>
    </row>
    <row r="120" spans="1:7" x14ac:dyDescent="0.35">
      <c r="A120" s="21"/>
      <c r="F120" s="15"/>
      <c r="G120" s="15"/>
    </row>
    <row r="121" spans="1:7" x14ac:dyDescent="0.35">
      <c r="A121" s="21"/>
      <c r="F121" s="15"/>
      <c r="G121" s="15"/>
    </row>
    <row r="122" spans="1:7" x14ac:dyDescent="0.35">
      <c r="A122" s="21"/>
      <c r="F122" s="15"/>
      <c r="G122" s="15"/>
    </row>
    <row r="123" spans="1:7" x14ac:dyDescent="0.35">
      <c r="A123" s="21"/>
      <c r="F123" s="15"/>
      <c r="G123" s="15"/>
    </row>
    <row r="124" spans="1:7" x14ac:dyDescent="0.35">
      <c r="A124" s="21"/>
      <c r="F124" s="15"/>
      <c r="G124" s="15"/>
    </row>
    <row r="125" spans="1:7" x14ac:dyDescent="0.35">
      <c r="A125" s="21"/>
      <c r="F125" s="15"/>
      <c r="G125" s="15"/>
    </row>
    <row r="126" spans="1:7" x14ac:dyDescent="0.35">
      <c r="A126" s="21"/>
      <c r="F126" s="15"/>
      <c r="G126" s="15"/>
    </row>
    <row r="127" spans="1:7" x14ac:dyDescent="0.35">
      <c r="A127" s="21"/>
      <c r="F127" s="15"/>
      <c r="G127" s="15"/>
    </row>
    <row r="128" spans="1:7" x14ac:dyDescent="0.35">
      <c r="A128" s="21"/>
      <c r="F128" s="15"/>
      <c r="G128" s="15"/>
    </row>
    <row r="129" spans="1:7" x14ac:dyDescent="0.35">
      <c r="A129" s="21"/>
      <c r="F129" s="15"/>
      <c r="G129" s="15"/>
    </row>
    <row r="130" spans="1:7" x14ac:dyDescent="0.35">
      <c r="A130" s="21"/>
      <c r="F130" s="15"/>
      <c r="G130" s="15"/>
    </row>
    <row r="131" spans="1:7" x14ac:dyDescent="0.35">
      <c r="A131" s="21"/>
      <c r="F131" s="15"/>
      <c r="G131" s="15"/>
    </row>
    <row r="132" spans="1:7" x14ac:dyDescent="0.35">
      <c r="A132" s="21"/>
      <c r="F132" s="15"/>
      <c r="G132" s="15"/>
    </row>
    <row r="133" spans="1:7" x14ac:dyDescent="0.35">
      <c r="A133" s="21"/>
      <c r="F133" s="15"/>
      <c r="G133" s="15"/>
    </row>
    <row r="134" spans="1:7" x14ac:dyDescent="0.35">
      <c r="A134" s="21"/>
      <c r="F134" s="15"/>
      <c r="G134" s="15"/>
    </row>
    <row r="135" spans="1:7" x14ac:dyDescent="0.35">
      <c r="A135" s="21"/>
      <c r="F135" s="15"/>
      <c r="G135" s="15"/>
    </row>
    <row r="136" spans="1:7" x14ac:dyDescent="0.35">
      <c r="A136" s="21"/>
      <c r="F136" s="15"/>
      <c r="G136" s="15"/>
    </row>
    <row r="137" spans="1:7" x14ac:dyDescent="0.35">
      <c r="A137" s="21"/>
      <c r="F137" s="15"/>
      <c r="G137" s="15"/>
    </row>
    <row r="138" spans="1:7" x14ac:dyDescent="0.35">
      <c r="A138" s="21"/>
      <c r="F138" s="15"/>
      <c r="G138" s="15"/>
    </row>
    <row r="139" spans="1:7" x14ac:dyDescent="0.35">
      <c r="A139" s="21"/>
      <c r="F139" s="15"/>
      <c r="G139" s="15"/>
    </row>
    <row r="140" spans="1:7" x14ac:dyDescent="0.35">
      <c r="A140" s="21"/>
      <c r="F140" s="15"/>
      <c r="G140" s="15"/>
    </row>
    <row r="141" spans="1:7" x14ac:dyDescent="0.35">
      <c r="A141" s="21"/>
      <c r="F141" s="15"/>
      <c r="G141" s="15"/>
    </row>
    <row r="142" spans="1:7" x14ac:dyDescent="0.35">
      <c r="A142" s="21"/>
      <c r="F142" s="15"/>
      <c r="G142" s="15"/>
    </row>
    <row r="143" spans="1:7" x14ac:dyDescent="0.35">
      <c r="A143" s="21"/>
      <c r="F143" s="15"/>
      <c r="G143" s="15"/>
    </row>
    <row r="144" spans="1:7" x14ac:dyDescent="0.35">
      <c r="A144" s="21"/>
      <c r="F144" s="15"/>
      <c r="G144" s="15"/>
    </row>
    <row r="145" spans="1:7" x14ac:dyDescent="0.35">
      <c r="A145" s="21"/>
      <c r="F145" s="15"/>
      <c r="G145" s="15"/>
    </row>
    <row r="146" spans="1:7" x14ac:dyDescent="0.35">
      <c r="A146" s="21"/>
      <c r="F146" s="15"/>
      <c r="G146" s="15"/>
    </row>
    <row r="147" spans="1:7" x14ac:dyDescent="0.35">
      <c r="A147" s="21"/>
      <c r="F147" s="15"/>
      <c r="G147" s="15"/>
    </row>
    <row r="148" spans="1:7" x14ac:dyDescent="0.35">
      <c r="A148" s="21"/>
      <c r="F148" s="15"/>
      <c r="G148" s="15"/>
    </row>
  </sheetData>
  <conditionalFormatting sqref="G1:G1048576">
    <cfRule type="cellIs" dxfId="0" priority="1" operator="equal">
      <formula>$G$10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156"/>
  <sheetViews>
    <sheetView topLeftCell="A159" zoomScale="41" zoomScaleNormal="25" workbookViewId="0">
      <selection activeCell="J159" sqref="J159"/>
    </sheetView>
  </sheetViews>
  <sheetFormatPr defaultRowHeight="14.5" x14ac:dyDescent="0.35"/>
  <cols>
    <col min="1" max="1" width="29.453125" customWidth="1"/>
    <col min="2" max="3" width="10" customWidth="1"/>
    <col min="4" max="6" width="12" customWidth="1"/>
    <col min="7" max="9" width="10" customWidth="1"/>
    <col min="10" max="13" width="12" customWidth="1"/>
    <col min="15" max="15" width="12" customWidth="1"/>
    <col min="16" max="17" width="10" customWidth="1"/>
    <col min="18" max="20" width="12" customWidth="1"/>
    <col min="21" max="23" width="10" customWidth="1"/>
    <col min="24" max="27" width="12" customWidth="1"/>
  </cols>
  <sheetData>
    <row r="1" spans="1:27" ht="15.5" x14ac:dyDescent="0.35">
      <c r="A1" s="50" t="s">
        <v>65</v>
      </c>
    </row>
    <row r="2" spans="1:27" x14ac:dyDescent="0.35">
      <c r="A2" s="48" t="s">
        <v>66</v>
      </c>
      <c r="B2" s="51">
        <v>0.5</v>
      </c>
    </row>
    <row r="3" spans="1:27" x14ac:dyDescent="0.35">
      <c r="A3" s="48" t="s">
        <v>67</v>
      </c>
      <c r="B3" s="51">
        <v>5</v>
      </c>
    </row>
    <row r="4" spans="1:27" x14ac:dyDescent="0.35">
      <c r="A4" s="48" t="s">
        <v>68</v>
      </c>
      <c r="B4" s="51">
        <v>0.2</v>
      </c>
    </row>
    <row r="5" spans="1:27" x14ac:dyDescent="0.35">
      <c r="A5" s="48" t="s">
        <v>69</v>
      </c>
      <c r="B5" s="51">
        <v>3</v>
      </c>
    </row>
    <row r="7" spans="1:27" x14ac:dyDescent="0.35">
      <c r="A7" s="54" t="s">
        <v>70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</row>
    <row r="9" spans="1:27" ht="16.5" x14ac:dyDescent="0.35">
      <c r="A9" s="52" t="s">
        <v>71</v>
      </c>
      <c r="O9" s="52" t="s">
        <v>72</v>
      </c>
    </row>
    <row r="10" spans="1:27" ht="30" customHeight="1" x14ac:dyDescent="0.35">
      <c r="A10" s="31" t="s">
        <v>73</v>
      </c>
      <c r="B10" s="31" t="s">
        <v>74</v>
      </c>
      <c r="C10" s="31" t="s">
        <v>75</v>
      </c>
      <c r="D10" s="31" t="s">
        <v>3</v>
      </c>
      <c r="E10" s="31" t="s">
        <v>76</v>
      </c>
      <c r="F10" s="31" t="s">
        <v>77</v>
      </c>
      <c r="G10" s="31" t="s">
        <v>78</v>
      </c>
      <c r="H10" s="31" t="s">
        <v>79</v>
      </c>
      <c r="I10" s="31" t="s">
        <v>80</v>
      </c>
      <c r="J10" s="31" t="s">
        <v>81</v>
      </c>
      <c r="K10" s="31" t="s">
        <v>82</v>
      </c>
      <c r="L10" s="31" t="s">
        <v>83</v>
      </c>
      <c r="M10" s="31" t="s">
        <v>84</v>
      </c>
      <c r="O10" s="31" t="s">
        <v>73</v>
      </c>
      <c r="P10" s="31" t="s">
        <v>74</v>
      </c>
      <c r="Q10" s="31" t="s">
        <v>75</v>
      </c>
      <c r="R10" s="31" t="s">
        <v>3</v>
      </c>
      <c r="S10" s="31" t="s">
        <v>76</v>
      </c>
      <c r="T10" s="31" t="s">
        <v>77</v>
      </c>
      <c r="U10" s="31" t="s">
        <v>78</v>
      </c>
      <c r="V10" s="31" t="s">
        <v>79</v>
      </c>
      <c r="W10" s="31" t="s">
        <v>80</v>
      </c>
      <c r="X10" s="31" t="s">
        <v>81</v>
      </c>
      <c r="Y10" s="31" t="s">
        <v>82</v>
      </c>
      <c r="Z10" s="31" t="s">
        <v>83</v>
      </c>
      <c r="AA10" s="31" t="s">
        <v>84</v>
      </c>
    </row>
    <row r="11" spans="1:27" x14ac:dyDescent="0.35">
      <c r="A11" s="53">
        <f>'Yazılım SW Hatası'!A2</f>
        <v>46029</v>
      </c>
      <c r="B11" s="48">
        <f>'Yazılım SW Hatası'!B2</f>
        <v>2</v>
      </c>
      <c r="C11" s="48">
        <f>'Yazılım SW Hatası'!C2</f>
        <v>0</v>
      </c>
      <c r="D11" s="48">
        <f t="shared" ref="D11:D42" si="0">C11/B11</f>
        <v>0</v>
      </c>
      <c r="E11" s="48">
        <f>SQRT('Yazılım SW Hatası'!$D$148*(1-'Yazılım SW Hatası'!$D$148)/B11)</f>
        <v>5.0162654783156922E-2</v>
      </c>
      <c r="F11" s="48">
        <f>(D11-'Yazılım SW Hatası'!$D$148)/E11</f>
        <v>-0.10083535181118582</v>
      </c>
      <c r="G11" s="48">
        <f>MAX(0,F11-$B$2+0)</f>
        <v>0</v>
      </c>
      <c r="H11" s="48">
        <f>MAX(0,-F11-$B$2+0)</f>
        <v>0</v>
      </c>
      <c r="I11" s="48">
        <f t="shared" ref="I11:I42" si="1">$B$3</f>
        <v>5</v>
      </c>
      <c r="J11" s="48">
        <f t="shared" ref="J11:J42" si="2">-$B$3</f>
        <v>-5</v>
      </c>
      <c r="K11" s="48">
        <f>$B$4*F11+(1-$B$4)*0</f>
        <v>-2.0167070362237166E-2</v>
      </c>
      <c r="L11" s="48">
        <f>$B$5*SQRT(($B$4/(2-$B$4))*(1-(1-$B$4)^(2*1)))</f>
        <v>0.59999999999999987</v>
      </c>
      <c r="M11" s="48">
        <f t="shared" ref="M11:M42" si="3">-L11</f>
        <v>-0.59999999999999987</v>
      </c>
      <c r="O11" s="53">
        <f>'Elektronik- Fonksiyon Hatası '!A2</f>
        <v>46029</v>
      </c>
      <c r="P11" s="48">
        <f>'Elektronik- Fonksiyon Hatası '!B2</f>
        <v>2</v>
      </c>
      <c r="Q11" s="48">
        <f>'Elektronik- Fonksiyon Hatası '!C2</f>
        <v>0</v>
      </c>
      <c r="R11" s="48">
        <f t="shared" ref="R11:R42" si="4">Q11/P11</f>
        <v>0</v>
      </c>
      <c r="S11" s="48">
        <f>SQRT('Elektronik- Fonksiyon Hatası '!$D$148*(1-'Elektronik- Fonksiyon Hatası '!$D$148)/P11)</f>
        <v>5.3650426951034225E-2</v>
      </c>
      <c r="T11" s="48">
        <f>(R11-'Elektronik- Fonksiyon Hatası '!$D$148)/S11</f>
        <v>-0.10792577259390536</v>
      </c>
      <c r="U11" s="48">
        <f>MAX(0,T11-$B$2+0)</f>
        <v>0</v>
      </c>
      <c r="V11" s="48">
        <f>MAX(0,-T11-$B$2+0)</f>
        <v>0</v>
      </c>
      <c r="W11" s="48">
        <f t="shared" ref="W11:W42" si="5">$B$3</f>
        <v>5</v>
      </c>
      <c r="X11" s="48">
        <f t="shared" ref="X11:X42" si="6">-$B$3</f>
        <v>-5</v>
      </c>
      <c r="Y11" s="48">
        <f>$B$4*T11+(1-$B$4)*0</f>
        <v>-2.1585154518781072E-2</v>
      </c>
      <c r="Z11" s="48">
        <f>$B$5*SQRT(($B$4/(2-$B$4))*(1-(1-$B$4)^(2*1)))</f>
        <v>0.59999999999999987</v>
      </c>
      <c r="AA11" s="48">
        <f t="shared" ref="AA11:AA42" si="7">-Z11</f>
        <v>-0.59999999999999987</v>
      </c>
    </row>
    <row r="12" spans="1:27" x14ac:dyDescent="0.35">
      <c r="A12" s="53">
        <f>'Yazılım SW Hatası'!A3</f>
        <v>46030</v>
      </c>
      <c r="B12" s="48">
        <f>'Yazılım SW Hatası'!B3</f>
        <v>34</v>
      </c>
      <c r="C12" s="48">
        <f>'Yazılım SW Hatası'!C3</f>
        <v>0</v>
      </c>
      <c r="D12" s="48">
        <f t="shared" si="0"/>
        <v>0</v>
      </c>
      <c r="E12" s="48">
        <f>SQRT('Yazılım SW Hatası'!$D$148*(1-'Yazılım SW Hatası'!$D$148)/B12)</f>
        <v>1.2166230831314764E-2</v>
      </c>
      <c r="F12" s="48">
        <f>(D12-'Yazılım SW Hatası'!$D$148)/E12</f>
        <v>-0.41575480631383616</v>
      </c>
      <c r="G12" s="48">
        <f t="shared" ref="G12:G43" si="8">MAX(0,F12-$B$2+G11)</f>
        <v>0</v>
      </c>
      <c r="H12" s="48">
        <f t="shared" ref="H12:H43" si="9">MAX(0,-F12-$B$2+H11)</f>
        <v>0</v>
      </c>
      <c r="I12" s="48">
        <f t="shared" si="1"/>
        <v>5</v>
      </c>
      <c r="J12" s="48">
        <f t="shared" si="2"/>
        <v>-5</v>
      </c>
      <c r="K12" s="48">
        <f>$B$4*F12+(1-$B$4)*K11</f>
        <v>-9.9284617552556964E-2</v>
      </c>
      <c r="L12" s="48">
        <f>$B$5*SQRT(($B$4/(2-$B$4))*(1-(1-$B$4)^(2*2)))</f>
        <v>0.76837490849194168</v>
      </c>
      <c r="M12" s="48">
        <f t="shared" si="3"/>
        <v>-0.76837490849194168</v>
      </c>
      <c r="O12" s="53">
        <f>'Elektronik- Fonksiyon Hatası '!A3</f>
        <v>46030</v>
      </c>
      <c r="P12" s="48">
        <f>'Elektronik- Fonksiyon Hatası '!B3</f>
        <v>34</v>
      </c>
      <c r="Q12" s="48">
        <f>'Elektronik- Fonksiyon Hatası '!C3</f>
        <v>0</v>
      </c>
      <c r="R12" s="48">
        <f t="shared" si="4"/>
        <v>0</v>
      </c>
      <c r="S12" s="48">
        <f>SQRT('Elektronik- Fonksiyon Hatası '!$D$148*(1-'Elektronik- Fonksiyon Hatası '!$D$148)/P12)</f>
        <v>1.301213983403521E-2</v>
      </c>
      <c r="T12" s="48">
        <f>(R12-'Elektronik- Fonksiyon Hatası '!$D$148)/S12</f>
        <v>-0.44498936013106355</v>
      </c>
      <c r="U12" s="48">
        <f t="shared" ref="U12:U43" si="10">MAX(0,T12-$B$2+U11)</f>
        <v>0</v>
      </c>
      <c r="V12" s="48">
        <f t="shared" ref="V12:V43" si="11">MAX(0,-T12-$B$2+V11)</f>
        <v>0</v>
      </c>
      <c r="W12" s="48">
        <f t="shared" si="5"/>
        <v>5</v>
      </c>
      <c r="X12" s="48">
        <f t="shared" si="6"/>
        <v>-5</v>
      </c>
      <c r="Y12" s="48">
        <f t="shared" ref="Y12:Y43" si="12">$B$4*T12+(1-$B$4)*Y11</f>
        <v>-0.10626599564123758</v>
      </c>
      <c r="Z12" s="48">
        <f>$B$5*SQRT(($B$4/(2-$B$4))*(1-(1-$B$4)^(2*2)))</f>
        <v>0.76837490849194168</v>
      </c>
      <c r="AA12" s="48">
        <f t="shared" si="7"/>
        <v>-0.76837490849194168</v>
      </c>
    </row>
    <row r="13" spans="1:27" x14ac:dyDescent="0.35">
      <c r="A13" s="53">
        <f>'Yazılım SW Hatası'!A4</f>
        <v>46031</v>
      </c>
      <c r="B13" s="48">
        <f>'Yazılım SW Hatası'!B4</f>
        <v>1</v>
      </c>
      <c r="C13" s="48">
        <f>'Yazılım SW Hatası'!C4</f>
        <v>0</v>
      </c>
      <c r="D13" s="48">
        <f t="shared" si="0"/>
        <v>0</v>
      </c>
      <c r="E13" s="48">
        <f>SQRT('Yazılım SW Hatası'!$D$148*(1-'Yazılım SW Hatası'!$D$148)/B13)</f>
        <v>7.0940706718980132E-2</v>
      </c>
      <c r="F13" s="48">
        <f>(D13-'Yazılım SW Hatası'!$D$148)/E13</f>
        <v>-7.1301361049020698E-2</v>
      </c>
      <c r="G13" s="48">
        <f t="shared" si="8"/>
        <v>0</v>
      </c>
      <c r="H13" s="48">
        <f t="shared" si="9"/>
        <v>0</v>
      </c>
      <c r="I13" s="48">
        <f t="shared" si="1"/>
        <v>5</v>
      </c>
      <c r="J13" s="48">
        <f t="shared" si="2"/>
        <v>-5</v>
      </c>
      <c r="K13" s="48">
        <f t="shared" ref="K13:K43" si="13">$B$4*F13+(1-$B$4)*K12</f>
        <v>-9.3687966251849719E-2</v>
      </c>
      <c r="L13" s="48">
        <f>$B$5*SQRT(($B$4/(2-$B$4))*(1-(1-$B$4)^(2*3)))</f>
        <v>0.85898544807231747</v>
      </c>
      <c r="M13" s="48">
        <f t="shared" si="3"/>
        <v>-0.85898544807231747</v>
      </c>
      <c r="O13" s="53">
        <f>'Elektronik- Fonksiyon Hatası '!A4</f>
        <v>46031</v>
      </c>
      <c r="P13" s="48">
        <f>'Elektronik- Fonksiyon Hatası '!B4</f>
        <v>1</v>
      </c>
      <c r="Q13" s="48">
        <f>'Elektronik- Fonksiyon Hatası '!C4</f>
        <v>0</v>
      </c>
      <c r="R13" s="48">
        <f t="shared" si="4"/>
        <v>0</v>
      </c>
      <c r="S13" s="48">
        <f>SQRT('Elektronik- Fonksiyon Hatası '!$D$148*(1-'Elektronik- Fonksiyon Hatası '!$D$148)/P13)</f>
        <v>7.5873161421259619E-2</v>
      </c>
      <c r="T13" s="48">
        <f>(R13-'Elektronik- Fonksiyon Hatası '!$D$148)/S13</f>
        <v>-7.6315045665947726E-2</v>
      </c>
      <c r="U13" s="48">
        <f t="shared" si="10"/>
        <v>0</v>
      </c>
      <c r="V13" s="48">
        <f t="shared" si="11"/>
        <v>0</v>
      </c>
      <c r="W13" s="48">
        <f t="shared" si="5"/>
        <v>5</v>
      </c>
      <c r="X13" s="48">
        <f t="shared" si="6"/>
        <v>-5</v>
      </c>
      <c r="Y13" s="48">
        <f t="shared" si="12"/>
        <v>-0.10027580564617962</v>
      </c>
      <c r="Z13" s="48">
        <f>$B$5*SQRT(($B$4/(2-$B$4))*(1-(1-$B$4)^(2*3)))</f>
        <v>0.85898544807231747</v>
      </c>
      <c r="AA13" s="48">
        <f t="shared" si="7"/>
        <v>-0.85898544807231747</v>
      </c>
    </row>
    <row r="14" spans="1:27" x14ac:dyDescent="0.35">
      <c r="A14" s="53">
        <f>'Yazılım SW Hatası'!A5</f>
        <v>46035</v>
      </c>
      <c r="B14" s="48">
        <f>'Yazılım SW Hatası'!B5</f>
        <v>81</v>
      </c>
      <c r="C14" s="48">
        <f>'Yazılım SW Hatası'!C5</f>
        <v>0</v>
      </c>
      <c r="D14" s="48">
        <f t="shared" si="0"/>
        <v>0</v>
      </c>
      <c r="E14" s="48">
        <f>SQRT('Yazılım SW Hatası'!$D$148*(1-'Yazılım SW Hatası'!$D$148)/B14)</f>
        <v>7.882300746553347E-3</v>
      </c>
      <c r="F14" s="48">
        <f>(D14-'Yazılım SW Hatası'!$D$148)/E14</f>
        <v>-0.64171224944118643</v>
      </c>
      <c r="G14" s="48">
        <f t="shared" si="8"/>
        <v>0</v>
      </c>
      <c r="H14" s="48">
        <f>MAX(0,-F14-$B$2+H13)</f>
        <v>0.14171224944118643</v>
      </c>
      <c r="I14" s="48">
        <f t="shared" si="1"/>
        <v>5</v>
      </c>
      <c r="J14" s="48">
        <f t="shared" si="2"/>
        <v>-5</v>
      </c>
      <c r="K14" s="48">
        <f>$B$4*F14+(1-$B$4)*K13</f>
        <v>-0.20329282288971706</v>
      </c>
      <c r="L14" s="48">
        <f>$B$5*SQRT(($B$4/(2-$B$4))*(1-(1-$B$4)^(2*4)))</f>
        <v>0.91226522459205905</v>
      </c>
      <c r="M14" s="48">
        <f t="shared" si="3"/>
        <v>-0.91226522459205905</v>
      </c>
      <c r="O14" s="53">
        <f>'Elektronik- Fonksiyon Hatası '!A5</f>
        <v>46035</v>
      </c>
      <c r="P14" s="48">
        <f>'Elektronik- Fonksiyon Hatası '!B5</f>
        <v>81</v>
      </c>
      <c r="Q14" s="48">
        <f>'Elektronik- Fonksiyon Hatası '!C5</f>
        <v>0</v>
      </c>
      <c r="R14" s="48">
        <f t="shared" si="4"/>
        <v>0</v>
      </c>
      <c r="S14" s="48">
        <f>SQRT('Elektronik- Fonksiyon Hatası '!$D$148*(1-'Elektronik- Fonksiyon Hatası '!$D$148)/P14)</f>
        <v>8.4303512690288469E-3</v>
      </c>
      <c r="T14" s="48">
        <f>(R14-'Elektronik- Fonksiyon Hatası '!$D$148)/S14</f>
        <v>-0.68683541099352952</v>
      </c>
      <c r="U14" s="48">
        <f t="shared" si="10"/>
        <v>0</v>
      </c>
      <c r="V14" s="48">
        <f t="shared" si="11"/>
        <v>0.18683541099352952</v>
      </c>
      <c r="W14" s="48">
        <f t="shared" si="5"/>
        <v>5</v>
      </c>
      <c r="X14" s="48">
        <f t="shared" si="6"/>
        <v>-5</v>
      </c>
      <c r="Y14" s="48">
        <f t="shared" si="12"/>
        <v>-0.21758772671564963</v>
      </c>
      <c r="Z14" s="48">
        <f>$B$5*SQRT(($B$4/(2-$B$4))*(1-(1-$B$4)^(2*4)))</f>
        <v>0.91226522459205905</v>
      </c>
      <c r="AA14" s="48">
        <f t="shared" si="7"/>
        <v>-0.91226522459205905</v>
      </c>
    </row>
    <row r="15" spans="1:27" x14ac:dyDescent="0.35">
      <c r="A15" s="53">
        <f>'Yazılım SW Hatası'!A6</f>
        <v>46037</v>
      </c>
      <c r="B15" s="48">
        <f>'Yazılım SW Hatası'!B6</f>
        <v>6</v>
      </c>
      <c r="C15" s="48">
        <f>'Yazılım SW Hatası'!C6</f>
        <v>0</v>
      </c>
      <c r="D15" s="48">
        <f t="shared" si="0"/>
        <v>0</v>
      </c>
      <c r="E15" s="48">
        <f>SQRT('Yazılım SW Hatası'!$D$148*(1-'Yazılım SW Hatası'!$D$148)/B15)</f>
        <v>2.896142224232192E-2</v>
      </c>
      <c r="F15" s="48">
        <f>(D15-'Yazılım SW Hatası'!$D$148)/E15</f>
        <v>-0.17465195253605623</v>
      </c>
      <c r="G15" s="48">
        <f t="shared" si="8"/>
        <v>0</v>
      </c>
      <c r="H15" s="48">
        <f t="shared" si="9"/>
        <v>0</v>
      </c>
      <c r="I15" s="48">
        <f t="shared" si="1"/>
        <v>5</v>
      </c>
      <c r="J15" s="48">
        <f t="shared" si="2"/>
        <v>-5</v>
      </c>
      <c r="K15" s="48">
        <f t="shared" si="13"/>
        <v>-0.19756464881898492</v>
      </c>
      <c r="L15" s="48">
        <f>$B$5*SQRT(($B$4/(2-$B$4))*(1-(1-$B$4)^(2*5)))</f>
        <v>0.94478876877321105</v>
      </c>
      <c r="M15" s="48">
        <f t="shared" si="3"/>
        <v>-0.94478876877321105</v>
      </c>
      <c r="O15" s="53">
        <f>'Elektronik- Fonksiyon Hatası '!A6</f>
        <v>46037</v>
      </c>
      <c r="P15" s="48">
        <f>'Elektronik- Fonksiyon Hatası '!B6</f>
        <v>6</v>
      </c>
      <c r="Q15" s="48">
        <f>'Elektronik- Fonksiyon Hatası '!C6</f>
        <v>0</v>
      </c>
      <c r="R15" s="48">
        <f t="shared" si="4"/>
        <v>0</v>
      </c>
      <c r="S15" s="48">
        <f>SQRT('Elektronik- Fonksiyon Hatası '!$D$148*(1-'Elektronik- Fonksiyon Hatası '!$D$148)/P15)</f>
        <v>3.0975088442317965E-2</v>
      </c>
      <c r="T15" s="48">
        <f>(R15-'Elektronik- Fonksiyon Hatası '!$D$148)/S15</f>
        <v>-0.18693292157876878</v>
      </c>
      <c r="U15" s="48">
        <f t="shared" si="10"/>
        <v>0</v>
      </c>
      <c r="V15" s="48">
        <f t="shared" si="11"/>
        <v>0</v>
      </c>
      <c r="W15" s="48">
        <f t="shared" si="5"/>
        <v>5</v>
      </c>
      <c r="X15" s="48">
        <f t="shared" si="6"/>
        <v>-5</v>
      </c>
      <c r="Y15" s="48">
        <f t="shared" si="12"/>
        <v>-0.21145676568827348</v>
      </c>
      <c r="Z15" s="48">
        <f>$B$5*SQRT(($B$4/(2-$B$4))*(1-(1-$B$4)^(2*5)))</f>
        <v>0.94478876877321105</v>
      </c>
      <c r="AA15" s="48">
        <f t="shared" si="7"/>
        <v>-0.94478876877321105</v>
      </c>
    </row>
    <row r="16" spans="1:27" x14ac:dyDescent="0.35">
      <c r="A16" s="53">
        <f>'Yazılım SW Hatası'!A7</f>
        <v>46038</v>
      </c>
      <c r="B16" s="48">
        <f>'Yazılım SW Hatası'!B7</f>
        <v>5</v>
      </c>
      <c r="C16" s="48">
        <f>'Yazılım SW Hatası'!C7</f>
        <v>0</v>
      </c>
      <c r="D16" s="48">
        <f t="shared" si="0"/>
        <v>0</v>
      </c>
      <c r="E16" s="48">
        <f>SQRT('Yazılım SW Hatası'!$D$148*(1-'Yazılım SW Hatası'!$D$148)/B16)</f>
        <v>3.1725648519103131E-2</v>
      </c>
      <c r="F16" s="48">
        <f>(D16-'Yazılım SW Hatası'!$D$148)/E16</f>
        <v>-0.159434690193866</v>
      </c>
      <c r="G16" s="48">
        <f>MAX(0,F16-$B$2+G15)</f>
        <v>0</v>
      </c>
      <c r="H16" s="48">
        <f t="shared" si="9"/>
        <v>0</v>
      </c>
      <c r="I16" s="48">
        <f t="shared" si="1"/>
        <v>5</v>
      </c>
      <c r="J16" s="48">
        <f t="shared" si="2"/>
        <v>-5</v>
      </c>
      <c r="K16" s="48">
        <f t="shared" si="13"/>
        <v>-0.18993865709396116</v>
      </c>
      <c r="L16" s="48">
        <f>$B$5*SQRT(($B$4/(2-$B$4))*(1-(1-$B$4)^(2*6)))</f>
        <v>0.96502876810175975</v>
      </c>
      <c r="M16" s="48">
        <f t="shared" si="3"/>
        <v>-0.96502876810175975</v>
      </c>
      <c r="O16" s="53">
        <f>'Elektronik- Fonksiyon Hatası '!A7</f>
        <v>46038</v>
      </c>
      <c r="P16" s="48">
        <f>'Elektronik- Fonksiyon Hatası '!B7</f>
        <v>2</v>
      </c>
      <c r="Q16" s="48">
        <f>'Elektronik- Fonksiyon Hatası '!C7</f>
        <v>0</v>
      </c>
      <c r="R16" s="48">
        <f t="shared" si="4"/>
        <v>0</v>
      </c>
      <c r="S16" s="48">
        <f>SQRT('Elektronik- Fonksiyon Hatası '!$D$148*(1-'Elektronik- Fonksiyon Hatası '!$D$148)/P16)</f>
        <v>5.3650426951034225E-2</v>
      </c>
      <c r="T16" s="48">
        <f>(R16-'Elektronik- Fonksiyon Hatası '!$D$148)/S16</f>
        <v>-0.10792577259390536</v>
      </c>
      <c r="U16" s="48">
        <f t="shared" si="10"/>
        <v>0</v>
      </c>
      <c r="V16" s="48">
        <f t="shared" si="11"/>
        <v>0</v>
      </c>
      <c r="W16" s="48">
        <f t="shared" si="5"/>
        <v>5</v>
      </c>
      <c r="X16" s="48">
        <f t="shared" si="6"/>
        <v>-5</v>
      </c>
      <c r="Y16" s="48">
        <f t="shared" si="12"/>
        <v>-0.19075056706939986</v>
      </c>
      <c r="Z16" s="48">
        <f>$B$5*SQRT(($B$4/(2-$B$4))*(1-(1-$B$4)^(2*6)))</f>
        <v>0.96502876810175975</v>
      </c>
      <c r="AA16" s="48">
        <f t="shared" si="7"/>
        <v>-0.96502876810175975</v>
      </c>
    </row>
    <row r="17" spans="1:27" x14ac:dyDescent="0.35">
      <c r="A17" s="53">
        <f>'Yazılım SW Hatası'!A8</f>
        <v>46041</v>
      </c>
      <c r="B17" s="48">
        <f>'Yazılım SW Hatası'!B8</f>
        <v>12</v>
      </c>
      <c r="C17" s="48">
        <f>'Yazılım SW Hatası'!C8</f>
        <v>0</v>
      </c>
      <c r="D17" s="48">
        <f t="shared" si="0"/>
        <v>0</v>
      </c>
      <c r="E17" s="48">
        <f>SQRT('Yazılım SW Hatası'!$D$148*(1-'Yazılım SW Hatası'!$D$148)/B17)</f>
        <v>2.0478818060352736E-2</v>
      </c>
      <c r="F17" s="48">
        <f>(D17-'Yazılım SW Hatası'!$D$148)/E17</f>
        <v>-0.24699515997143279</v>
      </c>
      <c r="G17" s="48">
        <f t="shared" si="8"/>
        <v>0</v>
      </c>
      <c r="H17" s="48">
        <f t="shared" si="9"/>
        <v>0</v>
      </c>
      <c r="I17" s="48">
        <f t="shared" si="1"/>
        <v>5</v>
      </c>
      <c r="J17" s="48">
        <f t="shared" si="2"/>
        <v>-5</v>
      </c>
      <c r="K17" s="48">
        <f t="shared" si="13"/>
        <v>-0.20134995766945549</v>
      </c>
      <c r="L17" s="48">
        <f>$B$5*SQRT(($B$4/(2-$B$4))*(1-(1-$B$4)^(2*7)))</f>
        <v>0.97776251456524965</v>
      </c>
      <c r="M17" s="48">
        <f t="shared" si="3"/>
        <v>-0.97776251456524965</v>
      </c>
      <c r="O17" s="53">
        <f>'Elektronik- Fonksiyon Hatası '!A8</f>
        <v>46041</v>
      </c>
      <c r="P17" s="48">
        <f>'Elektronik- Fonksiyon Hatası '!B8</f>
        <v>12</v>
      </c>
      <c r="Q17" s="48">
        <f>'Elektronik- Fonksiyon Hatası '!C8</f>
        <v>0</v>
      </c>
      <c r="R17" s="48">
        <f t="shared" si="4"/>
        <v>0</v>
      </c>
      <c r="S17" s="48">
        <f>SQRT('Elektronik- Fonksiyon Hatası '!$D$148*(1-'Elektronik- Fonksiyon Hatası '!$D$148)/P17)</f>
        <v>2.1902695085416087E-2</v>
      </c>
      <c r="T17" s="48">
        <f>(R17-'Elektronik- Fonksiyon Hatası '!$D$148)/S17</f>
        <v>-0.26436307295072098</v>
      </c>
      <c r="U17" s="48">
        <f t="shared" si="10"/>
        <v>0</v>
      </c>
      <c r="V17" s="48">
        <f t="shared" si="11"/>
        <v>0</v>
      </c>
      <c r="W17" s="48">
        <f t="shared" si="5"/>
        <v>5</v>
      </c>
      <c r="X17" s="48">
        <f t="shared" si="6"/>
        <v>-5</v>
      </c>
      <c r="Y17" s="48">
        <f t="shared" si="12"/>
        <v>-0.20547306824566408</v>
      </c>
      <c r="Z17" s="48">
        <f>$B$5*SQRT(($B$4/(2-$B$4))*(1-(1-$B$4)^(2*7)))</f>
        <v>0.97776251456524965</v>
      </c>
      <c r="AA17" s="48">
        <f t="shared" si="7"/>
        <v>-0.97776251456524965</v>
      </c>
    </row>
    <row r="18" spans="1:27" x14ac:dyDescent="0.35">
      <c r="A18" s="53">
        <f>'Yazılım SW Hatası'!A9</f>
        <v>46043</v>
      </c>
      <c r="B18" s="48">
        <f>'Yazılım SW Hatası'!B9</f>
        <v>316</v>
      </c>
      <c r="C18" s="48">
        <f>'Yazılım SW Hatası'!C9</f>
        <v>2</v>
      </c>
      <c r="D18" s="48">
        <f t="shared" si="0"/>
        <v>6.3291139240506328E-3</v>
      </c>
      <c r="E18" s="48">
        <f>SQRT('Yazılım SW Hatası'!$D$148*(1-'Yazılım SW Hatası'!$D$148)/B18)</f>
        <v>3.990726540633302E-3</v>
      </c>
      <c r="F18" s="48">
        <f>(D18-'Yazılım SW Hatası'!$D$148)/E18</f>
        <v>0.31847458558417063</v>
      </c>
      <c r="G18" s="48">
        <f>MAX(0,F18-$B$2+G17)</f>
        <v>0</v>
      </c>
      <c r="H18" s="48">
        <f t="shared" si="9"/>
        <v>0</v>
      </c>
      <c r="I18" s="48">
        <f t="shared" si="1"/>
        <v>5</v>
      </c>
      <c r="J18" s="48">
        <f t="shared" si="2"/>
        <v>-5</v>
      </c>
      <c r="K18" s="48">
        <f t="shared" si="13"/>
        <v>-9.7385049018730283E-2</v>
      </c>
      <c r="L18" s="48">
        <f>$B$5*SQRT(($B$4/(2-$B$4))*(1-(1-$B$4)^(2*8)))</f>
        <v>0.98582579715126872</v>
      </c>
      <c r="M18" s="48">
        <f t="shared" si="3"/>
        <v>-0.98582579715126872</v>
      </c>
      <c r="O18" s="53">
        <f>'Elektronik- Fonksiyon Hatası '!A9</f>
        <v>46043</v>
      </c>
      <c r="P18" s="48">
        <f>'Elektronik- Fonksiyon Hatası '!B9</f>
        <v>316</v>
      </c>
      <c r="Q18" s="48">
        <f>'Elektronik- Fonksiyon Hatası '!C9</f>
        <v>5</v>
      </c>
      <c r="R18" s="48">
        <f t="shared" si="4"/>
        <v>1.5822784810126583E-2</v>
      </c>
      <c r="S18" s="48">
        <f>SQRT('Elektronik- Fonksiyon Hatası '!$D$148*(1-'Elektronik- Fonksiyon Hatası '!$D$148)/P18)</f>
        <v>4.2681987960033179E-3</v>
      </c>
      <c r="T18" s="48">
        <f>(R18-'Elektronik- Fonksiyon Hatası '!$D$148)/S18</f>
        <v>2.350528059011133</v>
      </c>
      <c r="U18" s="48">
        <f t="shared" si="10"/>
        <v>1.850528059011133</v>
      </c>
      <c r="V18" s="48">
        <f t="shared" si="11"/>
        <v>0</v>
      </c>
      <c r="W18" s="48">
        <f t="shared" si="5"/>
        <v>5</v>
      </c>
      <c r="X18" s="48">
        <f t="shared" si="6"/>
        <v>-5</v>
      </c>
      <c r="Y18" s="48">
        <f t="shared" si="12"/>
        <v>0.30572715720569538</v>
      </c>
      <c r="Z18" s="48">
        <f>$B$5*SQRT(($B$4/(2-$B$4))*(1-(1-$B$4)^(2*8)))</f>
        <v>0.98582579715126872</v>
      </c>
      <c r="AA18" s="48">
        <f t="shared" si="7"/>
        <v>-0.98582579715126872</v>
      </c>
    </row>
    <row r="19" spans="1:27" x14ac:dyDescent="0.35">
      <c r="A19" s="53">
        <f>'Yazılım SW Hatası'!A10</f>
        <v>46045</v>
      </c>
      <c r="B19" s="48">
        <f>'Yazılım SW Hatası'!B10</f>
        <v>400</v>
      </c>
      <c r="C19" s="48">
        <f>'Yazılım SW Hatası'!C10</f>
        <v>1</v>
      </c>
      <c r="D19" s="48">
        <f t="shared" si="0"/>
        <v>2.5000000000000001E-3</v>
      </c>
      <c r="E19" s="48">
        <f>SQRT('Yazılım SW Hatası'!$D$148*(1-'Yazılım SW Hatası'!$D$148)/B19)</f>
        <v>3.5470353359490065E-3</v>
      </c>
      <c r="F19" s="48">
        <f>(D19-'Yazılım SW Hatası'!$D$148)/E19</f>
        <v>-0.72121326701084443</v>
      </c>
      <c r="G19" s="48">
        <f t="shared" si="8"/>
        <v>0</v>
      </c>
      <c r="H19" s="48">
        <f t="shared" si="9"/>
        <v>0.22121326701084443</v>
      </c>
      <c r="I19" s="48">
        <f t="shared" si="1"/>
        <v>5</v>
      </c>
      <c r="J19" s="48">
        <f t="shared" si="2"/>
        <v>-5</v>
      </c>
      <c r="K19" s="48">
        <f t="shared" si="13"/>
        <v>-0.22215069261715312</v>
      </c>
      <c r="L19" s="48">
        <f>$B$5*SQRT(($B$4/(2-$B$4))*(1-(1-$B$4)^(2*9)))</f>
        <v>0.99095186638429522</v>
      </c>
      <c r="M19" s="48">
        <f t="shared" si="3"/>
        <v>-0.99095186638429522</v>
      </c>
      <c r="O19" s="53">
        <f>'Elektronik- Fonksiyon Hatası '!A10</f>
        <v>46045</v>
      </c>
      <c r="P19" s="48">
        <f>'Elektronik- Fonksiyon Hatası '!B10</f>
        <v>60</v>
      </c>
      <c r="Q19" s="48">
        <f>'Elektronik- Fonksiyon Hatası '!C10</f>
        <v>2</v>
      </c>
      <c r="R19" s="48">
        <f t="shared" si="4"/>
        <v>3.3333333333333333E-2</v>
      </c>
      <c r="S19" s="48">
        <f>SQRT('Elektronik- Fonksiyon Hatası '!$D$148*(1-'Elektronik- Fonksiyon Hatası '!$D$148)/P19)</f>
        <v>9.7951830202881868E-3</v>
      </c>
      <c r="T19" s="48">
        <f>(R19-'Elektronik- Fonksiyon Hatası '!$D$148)/S19</f>
        <v>2.8118994303222045</v>
      </c>
      <c r="U19" s="48">
        <f t="shared" si="10"/>
        <v>4.1624274893333375</v>
      </c>
      <c r="V19" s="48">
        <f t="shared" si="11"/>
        <v>0</v>
      </c>
      <c r="W19" s="48">
        <f t="shared" si="5"/>
        <v>5</v>
      </c>
      <c r="X19" s="48">
        <f t="shared" si="6"/>
        <v>-5</v>
      </c>
      <c r="Y19" s="48">
        <f t="shared" si="12"/>
        <v>0.80696161182899717</v>
      </c>
      <c r="Z19" s="48">
        <f>$B$5*SQRT(($B$4/(2-$B$4))*(1-(1-$B$4)^(2*9)))</f>
        <v>0.99095186638429522</v>
      </c>
      <c r="AA19" s="48">
        <f t="shared" si="7"/>
        <v>-0.99095186638429522</v>
      </c>
    </row>
    <row r="20" spans="1:27" x14ac:dyDescent="0.35">
      <c r="A20" s="53">
        <f>'Yazılım SW Hatası'!A11</f>
        <v>46048</v>
      </c>
      <c r="B20" s="48">
        <f>'Yazılım SW Hatası'!B11</f>
        <v>2</v>
      </c>
      <c r="C20" s="48">
        <f>'Yazılım SW Hatası'!C11</f>
        <v>0</v>
      </c>
      <c r="D20" s="48">
        <f t="shared" si="0"/>
        <v>0</v>
      </c>
      <c r="E20" s="48">
        <f>SQRT('Yazılım SW Hatası'!$D$148*(1-'Yazılım SW Hatası'!$D$148)/B20)</f>
        <v>5.0162654783156922E-2</v>
      </c>
      <c r="F20" s="48">
        <f>(D20-'Yazılım SW Hatası'!$D$148)/E20</f>
        <v>-0.10083535181118582</v>
      </c>
      <c r="G20" s="48">
        <f t="shared" si="8"/>
        <v>0</v>
      </c>
      <c r="H20" s="48">
        <f t="shared" si="9"/>
        <v>0</v>
      </c>
      <c r="I20" s="48">
        <f t="shared" si="1"/>
        <v>5</v>
      </c>
      <c r="J20" s="48">
        <f t="shared" si="2"/>
        <v>-5</v>
      </c>
      <c r="K20" s="48">
        <f t="shared" si="13"/>
        <v>-0.19788762445595967</v>
      </c>
      <c r="L20" s="48">
        <f>$B$5*SQRT(($B$4/(2-$B$4))*(1-(1-$B$4)^(2*10)))</f>
        <v>0.99421868065025398</v>
      </c>
      <c r="M20" s="48">
        <f t="shared" si="3"/>
        <v>-0.99421868065025398</v>
      </c>
      <c r="O20" s="53">
        <f>'Elektronik- Fonksiyon Hatası '!A11</f>
        <v>46048</v>
      </c>
      <c r="P20" s="48">
        <f>'Elektronik- Fonksiyon Hatası '!B11</f>
        <v>2</v>
      </c>
      <c r="Q20" s="48">
        <f>'Elektronik- Fonksiyon Hatası '!C11</f>
        <v>0</v>
      </c>
      <c r="R20" s="48">
        <f t="shared" si="4"/>
        <v>0</v>
      </c>
      <c r="S20" s="48">
        <f>SQRT('Elektronik- Fonksiyon Hatası '!$D$148*(1-'Elektronik- Fonksiyon Hatası '!$D$148)/P20)</f>
        <v>5.3650426951034225E-2</v>
      </c>
      <c r="T20" s="48">
        <f>(R20-'Elektronik- Fonksiyon Hatası '!$D$148)/S20</f>
        <v>-0.10792577259390536</v>
      </c>
      <c r="U20" s="48">
        <f t="shared" si="10"/>
        <v>3.5545017167394324</v>
      </c>
      <c r="V20" s="48">
        <f t="shared" si="11"/>
        <v>0</v>
      </c>
      <c r="W20" s="48">
        <f t="shared" si="5"/>
        <v>5</v>
      </c>
      <c r="X20" s="48">
        <f t="shared" si="6"/>
        <v>-5</v>
      </c>
      <c r="Y20" s="48">
        <f t="shared" si="12"/>
        <v>0.62398413494441674</v>
      </c>
      <c r="Z20" s="48">
        <f>$B$5*SQRT(($B$4/(2-$B$4))*(1-(1-$B$4)^(2*10)))</f>
        <v>0.99421868065025398</v>
      </c>
      <c r="AA20" s="48">
        <f t="shared" si="7"/>
        <v>-0.99421868065025398</v>
      </c>
    </row>
    <row r="21" spans="1:27" x14ac:dyDescent="0.35">
      <c r="A21" s="53">
        <f>'Yazılım SW Hatası'!A12</f>
        <v>46050</v>
      </c>
      <c r="B21" s="48">
        <f>'Yazılım SW Hatası'!B12</f>
        <v>205</v>
      </c>
      <c r="C21" s="48">
        <f>'Yazılım SW Hatası'!C12</f>
        <v>1</v>
      </c>
      <c r="D21" s="48">
        <f t="shared" si="0"/>
        <v>4.8780487804878049E-3</v>
      </c>
      <c r="E21" s="48">
        <f>SQRT('Yazılım SW Hatası'!$D$148*(1-'Yazılım SW Hatası'!$D$148)/B21)</f>
        <v>4.9547138775840197E-3</v>
      </c>
      <c r="F21" s="48">
        <f>(D21-'Yazılım SW Hatası'!$D$148)/E21</f>
        <v>-3.6353292400955972E-2</v>
      </c>
      <c r="G21" s="48">
        <f t="shared" si="8"/>
        <v>0</v>
      </c>
      <c r="H21" s="48">
        <f t="shared" si="9"/>
        <v>0</v>
      </c>
      <c r="I21" s="48">
        <f t="shared" si="1"/>
        <v>5</v>
      </c>
      <c r="J21" s="48">
        <f t="shared" si="2"/>
        <v>-5</v>
      </c>
      <c r="K21" s="48">
        <f t="shared" si="13"/>
        <v>-0.16558075804495895</v>
      </c>
      <c r="L21" s="48">
        <f>$B$5*SQRT(($B$4/(2-$B$4))*(1-(1-$B$4)^(2*11)))</f>
        <v>0.99630382031311915</v>
      </c>
      <c r="M21" s="48">
        <f t="shared" si="3"/>
        <v>-0.99630382031311915</v>
      </c>
      <c r="O21" s="53">
        <f>'Elektronik- Fonksiyon Hatası '!A12</f>
        <v>46050</v>
      </c>
      <c r="P21" s="48">
        <f>'Elektronik- Fonksiyon Hatası '!B12</f>
        <v>205</v>
      </c>
      <c r="Q21" s="48">
        <f>'Elektronik- Fonksiyon Hatası '!C12</f>
        <v>0</v>
      </c>
      <c r="R21" s="48">
        <f t="shared" si="4"/>
        <v>0</v>
      </c>
      <c r="S21" s="48">
        <f>SQRT('Elektronik- Fonksiyon Hatası '!$D$148*(1-'Elektronik- Fonksiyon Hatası '!$D$148)/P21)</f>
        <v>5.2992114572423307E-3</v>
      </c>
      <c r="T21" s="48">
        <f>(R21-'Elektronik- Fonksiyon Hatası '!$D$148)/S21</f>
        <v>-1.0926651682808031</v>
      </c>
      <c r="U21" s="48">
        <f t="shared" si="10"/>
        <v>1.9618365484586293</v>
      </c>
      <c r="V21" s="48">
        <f t="shared" si="11"/>
        <v>0.59266516828080307</v>
      </c>
      <c r="W21" s="48">
        <f t="shared" si="5"/>
        <v>5</v>
      </c>
      <c r="X21" s="48">
        <f t="shared" si="6"/>
        <v>-5</v>
      </c>
      <c r="Y21" s="48">
        <f t="shared" si="12"/>
        <v>0.28065427429937279</v>
      </c>
      <c r="Z21" s="48">
        <f>$B$5*SQRT(($B$4/(2-$B$4))*(1-(1-$B$4)^(2*11)))</f>
        <v>0.99630382031311915</v>
      </c>
      <c r="AA21" s="48">
        <f t="shared" si="7"/>
        <v>-0.99630382031311915</v>
      </c>
    </row>
    <row r="22" spans="1:27" x14ac:dyDescent="0.35">
      <c r="A22" s="53">
        <f>'Yazılım SW Hatası'!A13</f>
        <v>46052</v>
      </c>
      <c r="B22" s="48">
        <f>'Yazılım SW Hatası'!B13</f>
        <v>200</v>
      </c>
      <c r="C22" s="48">
        <f>'Yazılım SW Hatası'!C13</f>
        <v>1</v>
      </c>
      <c r="D22" s="48">
        <f t="shared" si="0"/>
        <v>5.0000000000000001E-3</v>
      </c>
      <c r="E22" s="48">
        <f>SQRT('Yazılım SW Hatası'!$D$148*(1-'Yazılım SW Hatası'!$D$148)/B22)</f>
        <v>5.0162654783156924E-3</v>
      </c>
      <c r="F22" s="48">
        <f>(D22-'Yazılım SW Hatası'!$D$148)/E22</f>
        <v>-1.159606545828638E-2</v>
      </c>
      <c r="G22" s="48">
        <f t="shared" si="8"/>
        <v>0</v>
      </c>
      <c r="H22" s="48">
        <f t="shared" si="9"/>
        <v>0</v>
      </c>
      <c r="I22" s="48">
        <f t="shared" si="1"/>
        <v>5</v>
      </c>
      <c r="J22" s="48">
        <f t="shared" si="2"/>
        <v>-5</v>
      </c>
      <c r="K22" s="48">
        <f t="shared" si="13"/>
        <v>-0.13478381952762444</v>
      </c>
      <c r="L22" s="48">
        <f>$B$5*SQRT(($B$4/(2-$B$4))*(1-(1-$B$4)^(2*12)))</f>
        <v>0.99763602256390604</v>
      </c>
      <c r="M22" s="48">
        <f t="shared" si="3"/>
        <v>-0.99763602256390604</v>
      </c>
      <c r="O22" s="53">
        <f>'Elektronik- Fonksiyon Hatası '!A13</f>
        <v>46052</v>
      </c>
      <c r="P22" s="48">
        <f>'Elektronik- Fonksiyon Hatası '!B13</f>
        <v>6</v>
      </c>
      <c r="Q22" s="48">
        <f>'Elektronik- Fonksiyon Hatası '!C13</f>
        <v>0</v>
      </c>
      <c r="R22" s="48">
        <f t="shared" si="4"/>
        <v>0</v>
      </c>
      <c r="S22" s="48">
        <f>SQRT('Elektronik- Fonksiyon Hatası '!$D$148*(1-'Elektronik- Fonksiyon Hatası '!$D$148)/P22)</f>
        <v>3.0975088442317965E-2</v>
      </c>
      <c r="T22" s="48">
        <f>(R22-'Elektronik- Fonksiyon Hatası '!$D$148)/S22</f>
        <v>-0.18693292157876878</v>
      </c>
      <c r="U22" s="48">
        <f t="shared" si="10"/>
        <v>1.2749036268798606</v>
      </c>
      <c r="V22" s="48">
        <f t="shared" si="11"/>
        <v>0.27959808985957185</v>
      </c>
      <c r="W22" s="48">
        <f t="shared" si="5"/>
        <v>5</v>
      </c>
      <c r="X22" s="48">
        <f t="shared" si="6"/>
        <v>-5</v>
      </c>
      <c r="Y22" s="48">
        <f t="shared" si="12"/>
        <v>0.18713683512374449</v>
      </c>
      <c r="Z22" s="48">
        <f>$B$5*SQRT(($B$4/(2-$B$4))*(1-(1-$B$4)^(2*12)))</f>
        <v>0.99763602256390604</v>
      </c>
      <c r="AA22" s="48">
        <f t="shared" si="7"/>
        <v>-0.99763602256390604</v>
      </c>
    </row>
    <row r="23" spans="1:27" x14ac:dyDescent="0.35">
      <c r="A23" s="53">
        <f>'Yazılım SW Hatası'!A14</f>
        <v>46055</v>
      </c>
      <c r="B23" s="48">
        <f>'Yazılım SW Hatası'!B14</f>
        <v>2</v>
      </c>
      <c r="C23" s="48">
        <f>'Yazılım SW Hatası'!C14</f>
        <v>0</v>
      </c>
      <c r="D23" s="48">
        <f t="shared" si="0"/>
        <v>0</v>
      </c>
      <c r="E23" s="48">
        <f>SQRT('Yazılım SW Hatası'!$D$148*(1-'Yazılım SW Hatası'!$D$148)/B23)</f>
        <v>5.0162654783156922E-2</v>
      </c>
      <c r="F23" s="48">
        <f>(D23-'Yazılım SW Hatası'!$D$148)/E23</f>
        <v>-0.10083535181118582</v>
      </c>
      <c r="G23" s="48">
        <f t="shared" si="8"/>
        <v>0</v>
      </c>
      <c r="H23" s="48">
        <f t="shared" si="9"/>
        <v>0</v>
      </c>
      <c r="I23" s="48">
        <f t="shared" si="1"/>
        <v>5</v>
      </c>
      <c r="J23" s="48">
        <f t="shared" si="2"/>
        <v>-5</v>
      </c>
      <c r="K23" s="48">
        <f t="shared" si="13"/>
        <v>-0.12799412598433674</v>
      </c>
      <c r="L23" s="48">
        <f>$B$5*SQRT(($B$4/(2-$B$4))*(1-(1-$B$4)^(2*13)))</f>
        <v>0.99848769919862479</v>
      </c>
      <c r="M23" s="48">
        <f t="shared" si="3"/>
        <v>-0.99848769919862479</v>
      </c>
      <c r="O23" s="53">
        <f>'Elektronik- Fonksiyon Hatası '!A14</f>
        <v>46055</v>
      </c>
      <c r="P23" s="48">
        <f>'Elektronik- Fonksiyon Hatası '!B14</f>
        <v>2</v>
      </c>
      <c r="Q23" s="48">
        <f>'Elektronik- Fonksiyon Hatası '!C14</f>
        <v>0</v>
      </c>
      <c r="R23" s="48">
        <f t="shared" si="4"/>
        <v>0</v>
      </c>
      <c r="S23" s="48">
        <f>SQRT('Elektronik- Fonksiyon Hatası '!$D$148*(1-'Elektronik- Fonksiyon Hatası '!$D$148)/P23)</f>
        <v>5.3650426951034225E-2</v>
      </c>
      <c r="T23" s="48">
        <f>(R23-'Elektronik- Fonksiyon Hatası '!$D$148)/S23</f>
        <v>-0.10792577259390536</v>
      </c>
      <c r="U23" s="48">
        <f t="shared" si="10"/>
        <v>0.66697785428595524</v>
      </c>
      <c r="V23" s="48">
        <f t="shared" si="11"/>
        <v>0</v>
      </c>
      <c r="W23" s="48">
        <f t="shared" si="5"/>
        <v>5</v>
      </c>
      <c r="X23" s="48">
        <f t="shared" si="6"/>
        <v>-5</v>
      </c>
      <c r="Y23" s="48">
        <f t="shared" si="12"/>
        <v>0.12812431358021453</v>
      </c>
      <c r="Z23" s="48">
        <f>$B$5*SQRT(($B$4/(2-$B$4))*(1-(1-$B$4)^(2*13)))</f>
        <v>0.99848769919862479</v>
      </c>
      <c r="AA23" s="48">
        <f t="shared" si="7"/>
        <v>-0.99848769919862479</v>
      </c>
    </row>
    <row r="24" spans="1:27" x14ac:dyDescent="0.35">
      <c r="A24" s="53">
        <f>'Yazılım SW Hatası'!A15</f>
        <v>46056</v>
      </c>
      <c r="B24" s="48">
        <f>'Yazılım SW Hatası'!B15</f>
        <v>1</v>
      </c>
      <c r="C24" s="48">
        <f>'Yazılım SW Hatası'!C15</f>
        <v>0</v>
      </c>
      <c r="D24" s="48">
        <f t="shared" si="0"/>
        <v>0</v>
      </c>
      <c r="E24" s="48">
        <f>SQRT('Yazılım SW Hatası'!$D$148*(1-'Yazılım SW Hatası'!$D$148)/B24)</f>
        <v>7.0940706718980132E-2</v>
      </c>
      <c r="F24" s="48">
        <f>(D24-'Yazılım SW Hatası'!$D$148)/E24</f>
        <v>-7.1301361049020698E-2</v>
      </c>
      <c r="G24" s="48">
        <f t="shared" si="8"/>
        <v>0</v>
      </c>
      <c r="H24" s="48">
        <f t="shared" si="9"/>
        <v>0</v>
      </c>
      <c r="I24" s="48">
        <f t="shared" si="1"/>
        <v>5</v>
      </c>
      <c r="J24" s="48">
        <f t="shared" si="2"/>
        <v>-5</v>
      </c>
      <c r="K24" s="48">
        <f t="shared" si="13"/>
        <v>-0.11665557299727353</v>
      </c>
      <c r="L24" s="48">
        <f>$B$5*SQRT(($B$4/(2-$B$4))*(1-(1-$B$4)^(2*14)))</f>
        <v>0.99903239121092402</v>
      </c>
      <c r="M24" s="48">
        <f t="shared" si="3"/>
        <v>-0.99903239121092402</v>
      </c>
      <c r="O24" s="53">
        <f>'Elektronik- Fonksiyon Hatası '!A15</f>
        <v>46056</v>
      </c>
      <c r="P24" s="48">
        <f>'Elektronik- Fonksiyon Hatası '!B15</f>
        <v>1</v>
      </c>
      <c r="Q24" s="48">
        <f>'Elektronik- Fonksiyon Hatası '!C15</f>
        <v>0</v>
      </c>
      <c r="R24" s="48">
        <f t="shared" si="4"/>
        <v>0</v>
      </c>
      <c r="S24" s="48">
        <f>SQRT('Elektronik- Fonksiyon Hatası '!$D$148*(1-'Elektronik- Fonksiyon Hatası '!$D$148)/P24)</f>
        <v>7.5873161421259619E-2</v>
      </c>
      <c r="T24" s="48">
        <f>(R24-'Elektronik- Fonksiyon Hatası '!$D$148)/S24</f>
        <v>-7.6315045665947726E-2</v>
      </c>
      <c r="U24" s="48">
        <f t="shared" si="10"/>
        <v>9.0662808620007529E-2</v>
      </c>
      <c r="V24" s="48">
        <f t="shared" si="11"/>
        <v>0</v>
      </c>
      <c r="W24" s="48">
        <f t="shared" si="5"/>
        <v>5</v>
      </c>
      <c r="X24" s="48">
        <f t="shared" si="6"/>
        <v>-5</v>
      </c>
      <c r="Y24" s="48">
        <f t="shared" si="12"/>
        <v>8.7236441730982078E-2</v>
      </c>
      <c r="Z24" s="48">
        <f>$B$5*SQRT(($B$4/(2-$B$4))*(1-(1-$B$4)^(2*14)))</f>
        <v>0.99903239121092402</v>
      </c>
      <c r="AA24" s="48">
        <f t="shared" si="7"/>
        <v>-0.99903239121092402</v>
      </c>
    </row>
    <row r="25" spans="1:27" x14ac:dyDescent="0.35">
      <c r="A25" s="53">
        <f>'Yazılım SW Hatası'!A16</f>
        <v>46057</v>
      </c>
      <c r="B25" s="48">
        <f>'Yazılım SW Hatası'!B16</f>
        <v>7</v>
      </c>
      <c r="C25" s="48">
        <f>'Yazılım SW Hatası'!C16</f>
        <v>0</v>
      </c>
      <c r="D25" s="48">
        <f t="shared" si="0"/>
        <v>0</v>
      </c>
      <c r="E25" s="48">
        <f>SQRT('Yazılım SW Hatası'!$D$148*(1-'Yazılım SW Hatası'!$D$148)/B25)</f>
        <v>2.681306682994147E-2</v>
      </c>
      <c r="F25" s="48">
        <f>(D25-'Yazılım SW Hatası'!$D$148)/E25</f>
        <v>-0.18864566947613626</v>
      </c>
      <c r="G25" s="48">
        <f t="shared" si="8"/>
        <v>0</v>
      </c>
      <c r="H25" s="48">
        <f t="shared" si="9"/>
        <v>0</v>
      </c>
      <c r="I25" s="48">
        <f t="shared" si="1"/>
        <v>5</v>
      </c>
      <c r="J25" s="48">
        <f t="shared" si="2"/>
        <v>-5</v>
      </c>
      <c r="K25" s="48">
        <f t="shared" si="13"/>
        <v>-0.13105359229304608</v>
      </c>
      <c r="L25" s="48">
        <f>$B$5*SQRT(($B$4/(2-$B$4))*(1-(1-$B$4)^(2*15)))</f>
        <v>0.99938083829975177</v>
      </c>
      <c r="M25" s="48">
        <f t="shared" si="3"/>
        <v>-0.99938083829975177</v>
      </c>
      <c r="O25" s="53">
        <f>'Elektronik- Fonksiyon Hatası '!A16</f>
        <v>46057</v>
      </c>
      <c r="P25" s="48">
        <f>'Elektronik- Fonksiyon Hatası '!B16</f>
        <v>7</v>
      </c>
      <c r="Q25" s="48">
        <f>'Elektronik- Fonksiyon Hatası '!C16</f>
        <v>0</v>
      </c>
      <c r="R25" s="48">
        <f t="shared" si="4"/>
        <v>0</v>
      </c>
      <c r="S25" s="48">
        <f>SQRT('Elektronik- Fonksiyon Hatası '!$D$148*(1-'Elektronik- Fonksiyon Hatası '!$D$148)/P25)</f>
        <v>2.8677359472130421E-2</v>
      </c>
      <c r="T25" s="48">
        <f>(R25-'Elektronik- Fonksiyon Hatası '!$D$148)/S25</f>
        <v>-0.20191063212463531</v>
      </c>
      <c r="U25" s="48">
        <f t="shared" si="10"/>
        <v>0</v>
      </c>
      <c r="V25" s="48">
        <f t="shared" si="11"/>
        <v>0</v>
      </c>
      <c r="W25" s="48">
        <f t="shared" si="5"/>
        <v>5</v>
      </c>
      <c r="X25" s="48">
        <f t="shared" si="6"/>
        <v>-5</v>
      </c>
      <c r="Y25" s="48">
        <f t="shared" si="12"/>
        <v>2.9407026959858605E-2</v>
      </c>
      <c r="Z25" s="48">
        <f>$B$5*SQRT(($B$4/(2-$B$4))*(1-(1-$B$4)^(2*15)))</f>
        <v>0.99938083829975177</v>
      </c>
      <c r="AA25" s="48">
        <f t="shared" si="7"/>
        <v>-0.99938083829975177</v>
      </c>
    </row>
    <row r="26" spans="1:27" x14ac:dyDescent="0.35">
      <c r="A26" s="53">
        <f>'Yazılım SW Hatası'!A17</f>
        <v>46058</v>
      </c>
      <c r="B26" s="48">
        <f>'Yazılım SW Hatası'!B17</f>
        <v>6</v>
      </c>
      <c r="C26" s="48">
        <f>'Yazılım SW Hatası'!C17</f>
        <v>0</v>
      </c>
      <c r="D26" s="48">
        <f t="shared" si="0"/>
        <v>0</v>
      </c>
      <c r="E26" s="48">
        <f>SQRT('Yazılım SW Hatası'!$D$148*(1-'Yazılım SW Hatası'!$D$148)/B26)</f>
        <v>2.896142224232192E-2</v>
      </c>
      <c r="F26" s="48">
        <f>(D26-'Yazılım SW Hatası'!$D$148)/E26</f>
        <v>-0.17465195253605623</v>
      </c>
      <c r="G26" s="48">
        <f t="shared" si="8"/>
        <v>0</v>
      </c>
      <c r="H26" s="48">
        <f t="shared" si="9"/>
        <v>0</v>
      </c>
      <c r="I26" s="48">
        <f t="shared" si="1"/>
        <v>5</v>
      </c>
      <c r="J26" s="48">
        <f t="shared" si="2"/>
        <v>-5</v>
      </c>
      <c r="K26" s="48">
        <f t="shared" si="13"/>
        <v>-0.13977326434164811</v>
      </c>
      <c r="L26" s="48">
        <f>$B$5*SQRT(($B$4/(2-$B$4))*(1-(1-$B$4)^(2*16)))</f>
        <v>0.99960378069255906</v>
      </c>
      <c r="M26" s="48">
        <f t="shared" si="3"/>
        <v>-0.99960378069255906</v>
      </c>
      <c r="O26" s="53">
        <f>'Elektronik- Fonksiyon Hatası '!A17</f>
        <v>46058</v>
      </c>
      <c r="P26" s="48">
        <f>'Elektronik- Fonksiyon Hatası '!B17</f>
        <v>6</v>
      </c>
      <c r="Q26" s="48">
        <f>'Elektronik- Fonksiyon Hatası '!C17</f>
        <v>0</v>
      </c>
      <c r="R26" s="48">
        <f t="shared" si="4"/>
        <v>0</v>
      </c>
      <c r="S26" s="48">
        <f>SQRT('Elektronik- Fonksiyon Hatası '!$D$148*(1-'Elektronik- Fonksiyon Hatası '!$D$148)/P26)</f>
        <v>3.0975088442317965E-2</v>
      </c>
      <c r="T26" s="48">
        <f>(R26-'Elektronik- Fonksiyon Hatası '!$D$148)/S26</f>
        <v>-0.18693292157876878</v>
      </c>
      <c r="U26" s="48">
        <f t="shared" si="10"/>
        <v>0</v>
      </c>
      <c r="V26" s="48">
        <f t="shared" si="11"/>
        <v>0</v>
      </c>
      <c r="W26" s="48">
        <f t="shared" si="5"/>
        <v>5</v>
      </c>
      <c r="X26" s="48">
        <f t="shared" si="6"/>
        <v>-5</v>
      </c>
      <c r="Y26" s="48">
        <f t="shared" si="12"/>
        <v>-1.386096274786687E-2</v>
      </c>
      <c r="Z26" s="48">
        <f>$B$5*SQRT(($B$4/(2-$B$4))*(1-(1-$B$4)^(2*16)))</f>
        <v>0.99960378069255906</v>
      </c>
      <c r="AA26" s="48">
        <f t="shared" si="7"/>
        <v>-0.99960378069255906</v>
      </c>
    </row>
    <row r="27" spans="1:27" x14ac:dyDescent="0.35">
      <c r="A27" s="53">
        <f>'Yazılım SW Hatası'!A18</f>
        <v>46059</v>
      </c>
      <c r="B27" s="48">
        <f>'Yazılım SW Hatası'!B18</f>
        <v>7</v>
      </c>
      <c r="C27" s="48">
        <f>'Yazılım SW Hatası'!C18</f>
        <v>0</v>
      </c>
      <c r="D27" s="48">
        <f t="shared" si="0"/>
        <v>0</v>
      </c>
      <c r="E27" s="48">
        <f>SQRT('Yazılım SW Hatası'!$D$148*(1-'Yazılım SW Hatası'!$D$148)/B27)</f>
        <v>2.681306682994147E-2</v>
      </c>
      <c r="F27" s="48">
        <f>(D27-'Yazılım SW Hatası'!$D$148)/E27</f>
        <v>-0.18864566947613626</v>
      </c>
      <c r="G27" s="48">
        <f t="shared" si="8"/>
        <v>0</v>
      </c>
      <c r="H27" s="48">
        <f t="shared" si="9"/>
        <v>0</v>
      </c>
      <c r="I27" s="48">
        <f t="shared" si="1"/>
        <v>5</v>
      </c>
      <c r="J27" s="48">
        <f t="shared" si="2"/>
        <v>-5</v>
      </c>
      <c r="K27" s="48">
        <f t="shared" si="13"/>
        <v>-0.14954774536854576</v>
      </c>
      <c r="L27" s="48">
        <f>$B$5*SQRT(($B$4/(2-$B$4))*(1-(1-$B$4)^(2*17)))</f>
        <v>0.99974643773304273</v>
      </c>
      <c r="M27" s="48">
        <f t="shared" si="3"/>
        <v>-0.99974643773304273</v>
      </c>
      <c r="O27" s="53">
        <f>'Elektronik- Fonksiyon Hatası '!A18</f>
        <v>46059</v>
      </c>
      <c r="P27" s="48">
        <f>'Elektronik- Fonksiyon Hatası '!B18</f>
        <v>7</v>
      </c>
      <c r="Q27" s="48">
        <f>'Elektronik- Fonksiyon Hatası '!C18</f>
        <v>0</v>
      </c>
      <c r="R27" s="48">
        <f t="shared" si="4"/>
        <v>0</v>
      </c>
      <c r="S27" s="48">
        <f>SQRT('Elektronik- Fonksiyon Hatası '!$D$148*(1-'Elektronik- Fonksiyon Hatası '!$D$148)/P27)</f>
        <v>2.8677359472130421E-2</v>
      </c>
      <c r="T27" s="48">
        <f>(R27-'Elektronik- Fonksiyon Hatası '!$D$148)/S27</f>
        <v>-0.20191063212463531</v>
      </c>
      <c r="U27" s="48">
        <f t="shared" si="10"/>
        <v>0</v>
      </c>
      <c r="V27" s="48">
        <f t="shared" si="11"/>
        <v>0</v>
      </c>
      <c r="W27" s="48">
        <f t="shared" si="5"/>
        <v>5</v>
      </c>
      <c r="X27" s="48">
        <f t="shared" si="6"/>
        <v>-5</v>
      </c>
      <c r="Y27" s="48">
        <f t="shared" si="12"/>
        <v>-5.1470896623220561E-2</v>
      </c>
      <c r="Z27" s="48">
        <f>$B$5*SQRT(($B$4/(2-$B$4))*(1-(1-$B$4)^(2*17)))</f>
        <v>0.99974643773304273</v>
      </c>
      <c r="AA27" s="48">
        <f t="shared" si="7"/>
        <v>-0.99974643773304273</v>
      </c>
    </row>
    <row r="28" spans="1:27" x14ac:dyDescent="0.35">
      <c r="A28" s="53">
        <f>'Yazılım SW Hatası'!A19</f>
        <v>46062</v>
      </c>
      <c r="B28" s="48">
        <f>'Yazılım SW Hatası'!B19</f>
        <v>25</v>
      </c>
      <c r="C28" s="48">
        <f>'Yazılım SW Hatası'!C19</f>
        <v>0</v>
      </c>
      <c r="D28" s="48">
        <f t="shared" si="0"/>
        <v>0</v>
      </c>
      <c r="E28" s="48">
        <f>SQRT('Yazılım SW Hatası'!$D$148*(1-'Yazılım SW Hatası'!$D$148)/B28)</f>
        <v>1.4188141343796026E-2</v>
      </c>
      <c r="F28" s="48">
        <f>(D28-'Yazılım SW Hatası'!$D$148)/E28</f>
        <v>-0.35650680524510353</v>
      </c>
      <c r="G28" s="48">
        <f t="shared" si="8"/>
        <v>0</v>
      </c>
      <c r="H28" s="48">
        <f t="shared" si="9"/>
        <v>0</v>
      </c>
      <c r="I28" s="48">
        <f t="shared" si="1"/>
        <v>5</v>
      </c>
      <c r="J28" s="48">
        <f t="shared" si="2"/>
        <v>-5</v>
      </c>
      <c r="K28" s="48">
        <f t="shared" si="13"/>
        <v>-0.19093955734385731</v>
      </c>
      <c r="L28" s="48">
        <f>$B$5*SQRT(($B$4/(2-$B$4))*(1-(1-$B$4)^(2*18)))</f>
        <v>0.99983772755699796</v>
      </c>
      <c r="M28" s="48">
        <f t="shared" si="3"/>
        <v>-0.99983772755699796</v>
      </c>
      <c r="O28" s="53">
        <f>'Elektronik- Fonksiyon Hatası '!A19</f>
        <v>46062</v>
      </c>
      <c r="P28" s="48">
        <f>'Elektronik- Fonksiyon Hatası '!B19</f>
        <v>25</v>
      </c>
      <c r="Q28" s="48">
        <f>'Elektronik- Fonksiyon Hatası '!C19</f>
        <v>0</v>
      </c>
      <c r="R28" s="48">
        <f t="shared" si="4"/>
        <v>0</v>
      </c>
      <c r="S28" s="48">
        <f>SQRT('Elektronik- Fonksiyon Hatası '!$D$148*(1-'Elektronik- Fonksiyon Hatası '!$D$148)/P28)</f>
        <v>1.5174632284251924E-2</v>
      </c>
      <c r="T28" s="48">
        <f>(R28-'Elektronik- Fonksiyon Hatası '!$D$148)/S28</f>
        <v>-0.38157522832973861</v>
      </c>
      <c r="U28" s="48">
        <f t="shared" si="10"/>
        <v>0</v>
      </c>
      <c r="V28" s="48">
        <f t="shared" si="11"/>
        <v>0</v>
      </c>
      <c r="W28" s="48">
        <f t="shared" si="5"/>
        <v>5</v>
      </c>
      <c r="X28" s="48">
        <f t="shared" si="6"/>
        <v>-5</v>
      </c>
      <c r="Y28" s="48">
        <f t="shared" si="12"/>
        <v>-0.11749176296452418</v>
      </c>
      <c r="Z28" s="48">
        <f>$B$5*SQRT(($B$4/(2-$B$4))*(1-(1-$B$4)^(2*18)))</f>
        <v>0.99983772755699796</v>
      </c>
      <c r="AA28" s="48">
        <f t="shared" si="7"/>
        <v>-0.99983772755699796</v>
      </c>
    </row>
    <row r="29" spans="1:27" x14ac:dyDescent="0.35">
      <c r="A29" s="53">
        <f>'Yazılım SW Hatası'!A20</f>
        <v>46063</v>
      </c>
      <c r="B29" s="48">
        <f>'Yazılım SW Hatası'!B20</f>
        <v>4</v>
      </c>
      <c r="C29" s="48">
        <f>'Yazılım SW Hatası'!C20</f>
        <v>0</v>
      </c>
      <c r="D29" s="48">
        <f t="shared" si="0"/>
        <v>0</v>
      </c>
      <c r="E29" s="48">
        <f>SQRT('Yazılım SW Hatası'!$D$148*(1-'Yazılım SW Hatası'!$D$148)/B29)</f>
        <v>3.5470353359490066E-2</v>
      </c>
      <c r="F29" s="48">
        <f>(D29-'Yazılım SW Hatası'!$D$148)/E29</f>
        <v>-0.1426027220980414</v>
      </c>
      <c r="G29" s="48">
        <f t="shared" si="8"/>
        <v>0</v>
      </c>
      <c r="H29" s="48">
        <f t="shared" si="9"/>
        <v>0</v>
      </c>
      <c r="I29" s="48">
        <f t="shared" si="1"/>
        <v>5</v>
      </c>
      <c r="J29" s="48">
        <f t="shared" si="2"/>
        <v>-5</v>
      </c>
      <c r="K29" s="48">
        <f t="shared" si="13"/>
        <v>-0.18127219029469413</v>
      </c>
      <c r="L29" s="48">
        <f>$B$5*SQRT(($B$4/(2-$B$4))*(1-(1-$B$4)^(2*19)))</f>
        <v>0.99989614867027998</v>
      </c>
      <c r="M29" s="48">
        <f t="shared" si="3"/>
        <v>-0.99989614867027998</v>
      </c>
      <c r="O29" s="53">
        <f>'Elektronik- Fonksiyon Hatası '!A20</f>
        <v>46063</v>
      </c>
      <c r="P29" s="48">
        <f>'Elektronik- Fonksiyon Hatası '!B20</f>
        <v>4</v>
      </c>
      <c r="Q29" s="48">
        <f>'Elektronik- Fonksiyon Hatası '!C20</f>
        <v>0</v>
      </c>
      <c r="R29" s="48">
        <f t="shared" si="4"/>
        <v>0</v>
      </c>
      <c r="S29" s="48">
        <f>SQRT('Elektronik- Fonksiyon Hatası '!$D$148*(1-'Elektronik- Fonksiyon Hatası '!$D$148)/P29)</f>
        <v>3.7936580710629809E-2</v>
      </c>
      <c r="T29" s="48">
        <f>(R29-'Elektronik- Fonksiyon Hatası '!$D$148)/S29</f>
        <v>-0.15263009133189545</v>
      </c>
      <c r="U29" s="48">
        <f t="shared" si="10"/>
        <v>0</v>
      </c>
      <c r="V29" s="48">
        <f t="shared" si="11"/>
        <v>0</v>
      </c>
      <c r="W29" s="48">
        <f t="shared" si="5"/>
        <v>5</v>
      </c>
      <c r="X29" s="48">
        <f t="shared" si="6"/>
        <v>-5</v>
      </c>
      <c r="Y29" s="48">
        <f t="shared" si="12"/>
        <v>-0.12451942863799843</v>
      </c>
      <c r="Z29" s="48">
        <f>$B$5*SQRT(($B$4/(2-$B$4))*(1-(1-$B$4)^(2*19)))</f>
        <v>0.99989614867027998</v>
      </c>
      <c r="AA29" s="48">
        <f t="shared" si="7"/>
        <v>-0.99989614867027998</v>
      </c>
    </row>
    <row r="30" spans="1:27" x14ac:dyDescent="0.35">
      <c r="A30" s="53">
        <f>'Yazılım SW Hatası'!A21</f>
        <v>46064</v>
      </c>
      <c r="B30" s="48">
        <f>'Yazılım SW Hatası'!B21</f>
        <v>2</v>
      </c>
      <c r="C30" s="48">
        <f>'Yazılım SW Hatası'!C21</f>
        <v>0</v>
      </c>
      <c r="D30" s="48">
        <f t="shared" si="0"/>
        <v>0</v>
      </c>
      <c r="E30" s="48">
        <f>SQRT('Yazılım SW Hatası'!$D$148*(1-'Yazılım SW Hatası'!$D$148)/B30)</f>
        <v>5.0162654783156922E-2</v>
      </c>
      <c r="F30" s="48">
        <f>(D30-'Yazılım SW Hatası'!$D$148)/E30</f>
        <v>-0.10083535181118582</v>
      </c>
      <c r="G30" s="48">
        <f t="shared" si="8"/>
        <v>0</v>
      </c>
      <c r="H30" s="48">
        <f t="shared" si="9"/>
        <v>0</v>
      </c>
      <c r="I30" s="48">
        <f t="shared" si="1"/>
        <v>5</v>
      </c>
      <c r="J30" s="48">
        <f t="shared" si="2"/>
        <v>-5</v>
      </c>
      <c r="K30" s="48">
        <f t="shared" si="13"/>
        <v>-0.16518482259799247</v>
      </c>
      <c r="L30" s="48">
        <f>$B$5*SQRT(($B$4/(2-$B$4))*(1-(1-$B$4)^(2*20)))</f>
        <v>0.99993353639150517</v>
      </c>
      <c r="M30" s="48">
        <f t="shared" si="3"/>
        <v>-0.99993353639150517</v>
      </c>
      <c r="O30" s="53">
        <f>'Elektronik- Fonksiyon Hatası '!A21</f>
        <v>46064</v>
      </c>
      <c r="P30" s="48">
        <f>'Elektronik- Fonksiyon Hatası '!B21</f>
        <v>2</v>
      </c>
      <c r="Q30" s="48">
        <f>'Elektronik- Fonksiyon Hatası '!C21</f>
        <v>0</v>
      </c>
      <c r="R30" s="48">
        <f t="shared" si="4"/>
        <v>0</v>
      </c>
      <c r="S30" s="48">
        <f>SQRT('Elektronik- Fonksiyon Hatası '!$D$148*(1-'Elektronik- Fonksiyon Hatası '!$D$148)/P30)</f>
        <v>5.3650426951034225E-2</v>
      </c>
      <c r="T30" s="48">
        <f>(R30-'Elektronik- Fonksiyon Hatası '!$D$148)/S30</f>
        <v>-0.10792577259390536</v>
      </c>
      <c r="U30" s="48">
        <f t="shared" si="10"/>
        <v>0</v>
      </c>
      <c r="V30" s="48">
        <f t="shared" si="11"/>
        <v>0</v>
      </c>
      <c r="W30" s="48">
        <f t="shared" si="5"/>
        <v>5</v>
      </c>
      <c r="X30" s="48">
        <f t="shared" si="6"/>
        <v>-5</v>
      </c>
      <c r="Y30" s="48">
        <f t="shared" si="12"/>
        <v>-0.12120069742917983</v>
      </c>
      <c r="Z30" s="48">
        <f>$B$5*SQRT(($B$4/(2-$B$4))*(1-(1-$B$4)^(2*20)))</f>
        <v>0.99993353639150517</v>
      </c>
      <c r="AA30" s="48">
        <f t="shared" si="7"/>
        <v>-0.99993353639150517</v>
      </c>
    </row>
    <row r="31" spans="1:27" x14ac:dyDescent="0.35">
      <c r="A31" s="53">
        <f>'Yazılım SW Hatası'!A22</f>
        <v>46065</v>
      </c>
      <c r="B31" s="48">
        <f>'Yazılım SW Hatası'!B22</f>
        <v>86</v>
      </c>
      <c r="C31" s="48">
        <f>'Yazılım SW Hatası'!C22</f>
        <v>1</v>
      </c>
      <c r="D31" s="48">
        <f t="shared" si="0"/>
        <v>1.1627906976744186E-2</v>
      </c>
      <c r="E31" s="48">
        <f>SQRT('Yazılım SW Hatası'!$D$148*(1-'Yazılım SW Hatası'!$D$148)/B31)</f>
        <v>7.6497331385194239E-3</v>
      </c>
      <c r="F31" s="48">
        <f>(D31-'Yazılım SW Hatası'!$D$148)/E31</f>
        <v>0.85881924440217039</v>
      </c>
      <c r="G31" s="48">
        <f t="shared" si="8"/>
        <v>0.35881924440217039</v>
      </c>
      <c r="H31" s="48">
        <f t="shared" si="9"/>
        <v>0</v>
      </c>
      <c r="I31" s="48">
        <f t="shared" si="1"/>
        <v>5</v>
      </c>
      <c r="J31" s="48">
        <f t="shared" si="2"/>
        <v>-5</v>
      </c>
      <c r="K31" s="48">
        <f t="shared" si="13"/>
        <v>3.9615990802040091E-2</v>
      </c>
      <c r="L31" s="48">
        <f>$B$5*SQRT(($B$4/(2-$B$4))*(1-(1-$B$4)^(2*21)))</f>
        <v>0.99995746379947081</v>
      </c>
      <c r="M31" s="48">
        <f t="shared" si="3"/>
        <v>-0.99995746379947081</v>
      </c>
      <c r="O31" s="53">
        <f>'Elektronik- Fonksiyon Hatası '!A22</f>
        <v>46065</v>
      </c>
      <c r="P31" s="48">
        <f>'Elektronik- Fonksiyon Hatası '!B22</f>
        <v>86</v>
      </c>
      <c r="Q31" s="48">
        <f>'Elektronik- Fonksiyon Hatası '!C22</f>
        <v>0</v>
      </c>
      <c r="R31" s="48">
        <f t="shared" si="4"/>
        <v>0</v>
      </c>
      <c r="S31" s="48">
        <f>SQRT('Elektronik- Fonksiyon Hatası '!$D$148*(1-'Elektronik- Fonksiyon Hatası '!$D$148)/P31)</f>
        <v>8.1816134077665626E-3</v>
      </c>
      <c r="T31" s="48">
        <f>(R31-'Elektronik- Fonksiyon Hatası '!$D$148)/S31</f>
        <v>-0.70771661897233196</v>
      </c>
      <c r="U31" s="48">
        <f t="shared" si="10"/>
        <v>0</v>
      </c>
      <c r="V31" s="48">
        <f t="shared" si="11"/>
        <v>0.20771661897233196</v>
      </c>
      <c r="W31" s="48">
        <f t="shared" si="5"/>
        <v>5</v>
      </c>
      <c r="X31" s="48">
        <f t="shared" si="6"/>
        <v>-5</v>
      </c>
      <c r="Y31" s="48">
        <f t="shared" si="12"/>
        <v>-0.23850388173781029</v>
      </c>
      <c r="Z31" s="48">
        <f>$B$5*SQRT(($B$4/(2-$B$4))*(1-(1-$B$4)^(2*21)))</f>
        <v>0.99995746379947081</v>
      </c>
      <c r="AA31" s="48">
        <f t="shared" si="7"/>
        <v>-0.99995746379947081</v>
      </c>
    </row>
    <row r="32" spans="1:27" x14ac:dyDescent="0.35">
      <c r="A32" s="53">
        <f>'Yazılım SW Hatası'!A23</f>
        <v>46066</v>
      </c>
      <c r="B32" s="48">
        <f>'Yazılım SW Hatası'!B23</f>
        <v>16</v>
      </c>
      <c r="C32" s="48">
        <f>'Yazılım SW Hatası'!C23</f>
        <v>0</v>
      </c>
      <c r="D32" s="48">
        <f t="shared" si="0"/>
        <v>0</v>
      </c>
      <c r="E32" s="48">
        <f>SQRT('Yazılım SW Hatası'!$D$148*(1-'Yazılım SW Hatası'!$D$148)/B32)</f>
        <v>1.7735176679745033E-2</v>
      </c>
      <c r="F32" s="48">
        <f>(D32-'Yazılım SW Hatası'!$D$148)/E32</f>
        <v>-0.28520544419608279</v>
      </c>
      <c r="G32" s="48">
        <f t="shared" si="8"/>
        <v>0</v>
      </c>
      <c r="H32" s="48">
        <f t="shared" si="9"/>
        <v>0</v>
      </c>
      <c r="I32" s="48">
        <f t="shared" si="1"/>
        <v>5</v>
      </c>
      <c r="J32" s="48">
        <f t="shared" si="2"/>
        <v>-5</v>
      </c>
      <c r="K32" s="48">
        <f t="shared" si="13"/>
        <v>-2.534829619758449E-2</v>
      </c>
      <c r="L32" s="48">
        <f>$B$5*SQRT(($B$4/(2-$B$4))*(1-(1-$B$4)^(2*22)))</f>
        <v>0.99997277704010168</v>
      </c>
      <c r="M32" s="48">
        <f t="shared" si="3"/>
        <v>-0.99997277704010168</v>
      </c>
      <c r="O32" s="53">
        <f>'Elektronik- Fonksiyon Hatası '!A23</f>
        <v>46066</v>
      </c>
      <c r="P32" s="48">
        <f>'Elektronik- Fonksiyon Hatası '!B23</f>
        <v>16</v>
      </c>
      <c r="Q32" s="48">
        <f>'Elektronik- Fonksiyon Hatası '!C23</f>
        <v>0</v>
      </c>
      <c r="R32" s="48">
        <f t="shared" si="4"/>
        <v>0</v>
      </c>
      <c r="S32" s="48">
        <f>SQRT('Elektronik- Fonksiyon Hatası '!$D$148*(1-'Elektronik- Fonksiyon Hatası '!$D$148)/P32)</f>
        <v>1.8968290355314905E-2</v>
      </c>
      <c r="T32" s="48">
        <f>(R32-'Elektronik- Fonksiyon Hatası '!$D$148)/S32</f>
        <v>-0.3052601826637909</v>
      </c>
      <c r="U32" s="48">
        <f t="shared" si="10"/>
        <v>0</v>
      </c>
      <c r="V32" s="48">
        <f t="shared" si="11"/>
        <v>1.2976801636122859E-2</v>
      </c>
      <c r="W32" s="48">
        <f t="shared" si="5"/>
        <v>5</v>
      </c>
      <c r="X32" s="48">
        <f t="shared" si="6"/>
        <v>-5</v>
      </c>
      <c r="Y32" s="48">
        <f t="shared" si="12"/>
        <v>-0.25185514192300645</v>
      </c>
      <c r="Z32" s="48">
        <f>$B$5*SQRT(($B$4/(2-$B$4))*(1-(1-$B$4)^(2*22)))</f>
        <v>0.99997277704010168</v>
      </c>
      <c r="AA32" s="48">
        <f t="shared" si="7"/>
        <v>-0.99997277704010168</v>
      </c>
    </row>
    <row r="33" spans="1:27" x14ac:dyDescent="0.35">
      <c r="A33" s="53">
        <f>'Yazılım SW Hatası'!A24</f>
        <v>46069</v>
      </c>
      <c r="B33" s="48">
        <f>'Yazılım SW Hatası'!B24</f>
        <v>7</v>
      </c>
      <c r="C33" s="48">
        <f>'Yazılım SW Hatası'!C24</f>
        <v>0</v>
      </c>
      <c r="D33" s="48">
        <f t="shared" si="0"/>
        <v>0</v>
      </c>
      <c r="E33" s="48">
        <f>SQRT('Yazılım SW Hatası'!$D$148*(1-'Yazılım SW Hatası'!$D$148)/B33)</f>
        <v>2.681306682994147E-2</v>
      </c>
      <c r="F33" s="48">
        <f>(D33-'Yazılım SW Hatası'!$D$148)/E33</f>
        <v>-0.18864566947613626</v>
      </c>
      <c r="G33" s="48">
        <f t="shared" si="8"/>
        <v>0</v>
      </c>
      <c r="H33" s="48">
        <f t="shared" si="9"/>
        <v>0</v>
      </c>
      <c r="I33" s="48">
        <f t="shared" si="1"/>
        <v>5</v>
      </c>
      <c r="J33" s="48">
        <f t="shared" si="2"/>
        <v>-5</v>
      </c>
      <c r="K33" s="48">
        <f t="shared" si="13"/>
        <v>-5.8007770853294845E-2</v>
      </c>
      <c r="L33" s="48">
        <f>$B$5*SQRT(($B$4/(2-$B$4))*(1-(1-$B$4)^(2*23)))</f>
        <v>0.99998257739104002</v>
      </c>
      <c r="M33" s="48">
        <f t="shared" si="3"/>
        <v>-0.99998257739104002</v>
      </c>
      <c r="O33" s="53">
        <f>'Elektronik- Fonksiyon Hatası '!A24</f>
        <v>46069</v>
      </c>
      <c r="P33" s="48">
        <f>'Elektronik- Fonksiyon Hatası '!B24</f>
        <v>7</v>
      </c>
      <c r="Q33" s="48">
        <f>'Elektronik- Fonksiyon Hatası '!C24</f>
        <v>0</v>
      </c>
      <c r="R33" s="48">
        <f t="shared" si="4"/>
        <v>0</v>
      </c>
      <c r="S33" s="48">
        <f>SQRT('Elektronik- Fonksiyon Hatası '!$D$148*(1-'Elektronik- Fonksiyon Hatası '!$D$148)/P33)</f>
        <v>2.8677359472130421E-2</v>
      </c>
      <c r="T33" s="48">
        <f>(R33-'Elektronik- Fonksiyon Hatası '!$D$148)/S33</f>
        <v>-0.20191063212463531</v>
      </c>
      <c r="U33" s="48">
        <f t="shared" si="10"/>
        <v>0</v>
      </c>
      <c r="V33" s="48">
        <f t="shared" si="11"/>
        <v>0</v>
      </c>
      <c r="W33" s="48">
        <f t="shared" si="5"/>
        <v>5</v>
      </c>
      <c r="X33" s="48">
        <f t="shared" si="6"/>
        <v>-5</v>
      </c>
      <c r="Y33" s="48">
        <f t="shared" si="12"/>
        <v>-0.24186623996333223</v>
      </c>
      <c r="Z33" s="48">
        <f>$B$5*SQRT(($B$4/(2-$B$4))*(1-(1-$B$4)^(2*23)))</f>
        <v>0.99998257739104002</v>
      </c>
      <c r="AA33" s="48">
        <f t="shared" si="7"/>
        <v>-0.99998257739104002</v>
      </c>
    </row>
    <row r="34" spans="1:27" x14ac:dyDescent="0.35">
      <c r="A34" s="53">
        <f>'Yazılım SW Hatası'!A25</f>
        <v>46070</v>
      </c>
      <c r="B34" s="48">
        <f>'Yazılım SW Hatası'!B25</f>
        <v>11</v>
      </c>
      <c r="C34" s="48">
        <f>'Yazılım SW Hatası'!C25</f>
        <v>0</v>
      </c>
      <c r="D34" s="48">
        <f t="shared" si="0"/>
        <v>0</v>
      </c>
      <c r="E34" s="48">
        <f>SQRT('Yazılım SW Hatası'!$D$148*(1-'Yazılım SW Hatası'!$D$148)/B34)</f>
        <v>2.1389427868136489E-2</v>
      </c>
      <c r="F34" s="48">
        <f>(D34-'Yazılım SW Hatası'!$D$148)/E34</f>
        <v>-0.23647986164126297</v>
      </c>
      <c r="G34" s="48">
        <f t="shared" si="8"/>
        <v>0</v>
      </c>
      <c r="H34" s="48">
        <f t="shared" si="9"/>
        <v>0</v>
      </c>
      <c r="I34" s="48">
        <f t="shared" si="1"/>
        <v>5</v>
      </c>
      <c r="J34" s="48">
        <f t="shared" si="2"/>
        <v>-5</v>
      </c>
      <c r="K34" s="48">
        <f t="shared" si="13"/>
        <v>-9.3702189010888476E-2</v>
      </c>
      <c r="L34" s="48">
        <f>$B$5*SQRT(($B$4/(2-$B$4))*(1-(1-$B$4)^(2*24)))</f>
        <v>0.99998884956523471</v>
      </c>
      <c r="M34" s="48">
        <f t="shared" si="3"/>
        <v>-0.99998884956523471</v>
      </c>
      <c r="O34" s="53">
        <f>'Elektronik- Fonksiyon Hatası '!A25</f>
        <v>46070</v>
      </c>
      <c r="P34" s="48">
        <f>'Elektronik- Fonksiyon Hatası '!B25</f>
        <v>11</v>
      </c>
      <c r="Q34" s="48">
        <f>'Elektronik- Fonksiyon Hatası '!C25</f>
        <v>0</v>
      </c>
      <c r="R34" s="48">
        <f t="shared" si="4"/>
        <v>0</v>
      </c>
      <c r="S34" s="48">
        <f>SQRT('Elektronik- Fonksiyon Hatası '!$D$148*(1-'Elektronik- Fonksiyon Hatası '!$D$148)/P34)</f>
        <v>2.287661891748969E-2</v>
      </c>
      <c r="T34" s="48">
        <f>(R34-'Elektronik- Fonksiyon Hatası '!$D$148)/S34</f>
        <v>-0.25310837233278666</v>
      </c>
      <c r="U34" s="48">
        <f t="shared" si="10"/>
        <v>0</v>
      </c>
      <c r="V34" s="48">
        <f t="shared" si="11"/>
        <v>0</v>
      </c>
      <c r="W34" s="48">
        <f t="shared" si="5"/>
        <v>5</v>
      </c>
      <c r="X34" s="48">
        <f t="shared" si="6"/>
        <v>-5</v>
      </c>
      <c r="Y34" s="48">
        <f t="shared" si="12"/>
        <v>-0.24411466643722313</v>
      </c>
      <c r="Z34" s="48">
        <f>$B$5*SQRT(($B$4/(2-$B$4))*(1-(1-$B$4)^(2*24)))</f>
        <v>0.99998884956523471</v>
      </c>
      <c r="AA34" s="48">
        <f t="shared" si="7"/>
        <v>-0.99998884956523471</v>
      </c>
    </row>
    <row r="35" spans="1:27" x14ac:dyDescent="0.35">
      <c r="A35" s="53">
        <f>'Yazılım SW Hatası'!A26</f>
        <v>46071</v>
      </c>
      <c r="B35" s="48">
        <f>'Yazılım SW Hatası'!B26</f>
        <v>6</v>
      </c>
      <c r="C35" s="48">
        <f>'Yazılım SW Hatası'!C26</f>
        <v>0</v>
      </c>
      <c r="D35" s="48">
        <f t="shared" si="0"/>
        <v>0</v>
      </c>
      <c r="E35" s="48">
        <f>SQRT('Yazılım SW Hatası'!$D$148*(1-'Yazılım SW Hatası'!$D$148)/B35)</f>
        <v>2.896142224232192E-2</v>
      </c>
      <c r="F35" s="48">
        <f>(D35-'Yazılım SW Hatası'!$D$148)/E35</f>
        <v>-0.17465195253605623</v>
      </c>
      <c r="G35" s="48">
        <f t="shared" si="8"/>
        <v>0</v>
      </c>
      <c r="H35" s="48">
        <f t="shared" si="9"/>
        <v>0</v>
      </c>
      <c r="I35" s="48">
        <f t="shared" si="1"/>
        <v>5</v>
      </c>
      <c r="J35" s="48">
        <f t="shared" si="2"/>
        <v>-5</v>
      </c>
      <c r="K35" s="48">
        <f t="shared" si="13"/>
        <v>-0.10989214171592204</v>
      </c>
      <c r="L35" s="48">
        <f>$B$5*SQRT(($B$4/(2-$B$4))*(1-(1-$B$4)^(2*25)))</f>
        <v>0.99999286373607332</v>
      </c>
      <c r="M35" s="48">
        <f t="shared" si="3"/>
        <v>-0.99999286373607332</v>
      </c>
      <c r="O35" s="53">
        <f>'Elektronik- Fonksiyon Hatası '!A26</f>
        <v>46071</v>
      </c>
      <c r="P35" s="48">
        <f>'Elektronik- Fonksiyon Hatası '!B26</f>
        <v>6</v>
      </c>
      <c r="Q35" s="48">
        <f>'Elektronik- Fonksiyon Hatası '!C26</f>
        <v>0</v>
      </c>
      <c r="R35" s="48">
        <f t="shared" si="4"/>
        <v>0</v>
      </c>
      <c r="S35" s="48">
        <f>SQRT('Elektronik- Fonksiyon Hatası '!$D$148*(1-'Elektronik- Fonksiyon Hatası '!$D$148)/P35)</f>
        <v>3.0975088442317965E-2</v>
      </c>
      <c r="T35" s="48">
        <f>(R35-'Elektronik- Fonksiyon Hatası '!$D$148)/S35</f>
        <v>-0.18693292157876878</v>
      </c>
      <c r="U35" s="48">
        <f t="shared" si="10"/>
        <v>0</v>
      </c>
      <c r="V35" s="48">
        <f t="shared" si="11"/>
        <v>0</v>
      </c>
      <c r="W35" s="48">
        <f t="shared" si="5"/>
        <v>5</v>
      </c>
      <c r="X35" s="48">
        <f t="shared" si="6"/>
        <v>-5</v>
      </c>
      <c r="Y35" s="48">
        <f t="shared" si="12"/>
        <v>-0.23267831746553228</v>
      </c>
      <c r="Z35" s="48">
        <f>$B$5*SQRT(($B$4/(2-$B$4))*(1-(1-$B$4)^(2*25)))</f>
        <v>0.99999286373607332</v>
      </c>
      <c r="AA35" s="48">
        <f t="shared" si="7"/>
        <v>-0.99999286373607332</v>
      </c>
    </row>
    <row r="36" spans="1:27" x14ac:dyDescent="0.35">
      <c r="A36" s="53">
        <f>'Yazılım SW Hatası'!A27</f>
        <v>46072</v>
      </c>
      <c r="B36" s="48">
        <f>'Yazılım SW Hatası'!B27</f>
        <v>8</v>
      </c>
      <c r="C36" s="48">
        <f>'Yazılım SW Hatası'!C27</f>
        <v>0</v>
      </c>
      <c r="D36" s="48">
        <f t="shared" si="0"/>
        <v>0</v>
      </c>
      <c r="E36" s="48">
        <f>SQRT('Yazılım SW Hatası'!$D$148*(1-'Yazılım SW Hatası'!$D$148)/B36)</f>
        <v>2.5081327391578461E-2</v>
      </c>
      <c r="F36" s="48">
        <f>(D36-'Yazılım SW Hatası'!$D$148)/E36</f>
        <v>-0.20167070362237163</v>
      </c>
      <c r="G36" s="48">
        <f t="shared" si="8"/>
        <v>0</v>
      </c>
      <c r="H36" s="48">
        <f t="shared" si="9"/>
        <v>0</v>
      </c>
      <c r="I36" s="48">
        <f t="shared" si="1"/>
        <v>5</v>
      </c>
      <c r="J36" s="48">
        <f t="shared" si="2"/>
        <v>-5</v>
      </c>
      <c r="K36" s="48">
        <f t="shared" si="13"/>
        <v>-0.12824785409721196</v>
      </c>
      <c r="L36" s="48">
        <f>$B$5*SQRT(($B$4/(2-$B$4))*(1-(1-$B$4)^(2*26)))</f>
        <v>0.99999543279695369</v>
      </c>
      <c r="M36" s="48">
        <f t="shared" si="3"/>
        <v>-0.99999543279695369</v>
      </c>
      <c r="O36" s="53">
        <f>'Elektronik- Fonksiyon Hatası '!A27</f>
        <v>46072</v>
      </c>
      <c r="P36" s="48">
        <f>'Elektronik- Fonksiyon Hatası '!B27</f>
        <v>8</v>
      </c>
      <c r="Q36" s="48">
        <f>'Elektronik- Fonksiyon Hatası '!C27</f>
        <v>0</v>
      </c>
      <c r="R36" s="48">
        <f t="shared" si="4"/>
        <v>0</v>
      </c>
      <c r="S36" s="48">
        <f>SQRT('Elektronik- Fonksiyon Hatası '!$D$148*(1-'Elektronik- Fonksiyon Hatası '!$D$148)/P36)</f>
        <v>2.6825213475517112E-2</v>
      </c>
      <c r="T36" s="48">
        <f>(R36-'Elektronik- Fonksiyon Hatası '!$D$148)/S36</f>
        <v>-0.21585154518781072</v>
      </c>
      <c r="U36" s="48">
        <f t="shared" si="10"/>
        <v>0</v>
      </c>
      <c r="V36" s="48">
        <f t="shared" si="11"/>
        <v>0</v>
      </c>
      <c r="W36" s="48">
        <f t="shared" si="5"/>
        <v>5</v>
      </c>
      <c r="X36" s="48">
        <f t="shared" si="6"/>
        <v>-5</v>
      </c>
      <c r="Y36" s="48">
        <f t="shared" si="12"/>
        <v>-0.22931296300998796</v>
      </c>
      <c r="Z36" s="48">
        <f>$B$5*SQRT(($B$4/(2-$B$4))*(1-(1-$B$4)^(2*26)))</f>
        <v>0.99999543279695369</v>
      </c>
      <c r="AA36" s="48">
        <f t="shared" si="7"/>
        <v>-0.99999543279695369</v>
      </c>
    </row>
    <row r="37" spans="1:27" x14ac:dyDescent="0.35">
      <c r="A37" s="53">
        <f>'Yazılım SW Hatası'!A28</f>
        <v>46076</v>
      </c>
      <c r="B37" s="48">
        <f>'Yazılım SW Hatası'!B28</f>
        <v>12</v>
      </c>
      <c r="C37" s="48">
        <f>'Yazılım SW Hatası'!C28</f>
        <v>0</v>
      </c>
      <c r="D37" s="48">
        <f t="shared" si="0"/>
        <v>0</v>
      </c>
      <c r="E37" s="48">
        <f>SQRT('Yazılım SW Hatası'!$D$148*(1-'Yazılım SW Hatası'!$D$148)/B37)</f>
        <v>2.0478818060352736E-2</v>
      </c>
      <c r="F37" s="48">
        <f>(D37-'Yazılım SW Hatası'!$D$148)/E37</f>
        <v>-0.24699515997143279</v>
      </c>
      <c r="G37" s="48">
        <f t="shared" si="8"/>
        <v>0</v>
      </c>
      <c r="H37" s="48">
        <f t="shared" si="9"/>
        <v>0</v>
      </c>
      <c r="I37" s="48">
        <f t="shared" si="1"/>
        <v>5</v>
      </c>
      <c r="J37" s="48">
        <f t="shared" si="2"/>
        <v>-5</v>
      </c>
      <c r="K37" s="48">
        <f t="shared" si="13"/>
        <v>-0.15199731527205612</v>
      </c>
      <c r="L37" s="48">
        <f>$B$5*SQRT(($B$4/(2-$B$4))*(1-(1-$B$4)^(2*27)))</f>
        <v>0.99999707699245344</v>
      </c>
      <c r="M37" s="48">
        <f t="shared" si="3"/>
        <v>-0.99999707699245344</v>
      </c>
      <c r="O37" s="53">
        <f>'Elektronik- Fonksiyon Hatası '!A28</f>
        <v>46076</v>
      </c>
      <c r="P37" s="48">
        <f>'Elektronik- Fonksiyon Hatası '!B28</f>
        <v>12</v>
      </c>
      <c r="Q37" s="48">
        <f>'Elektronik- Fonksiyon Hatası '!C28</f>
        <v>0</v>
      </c>
      <c r="R37" s="48">
        <f t="shared" si="4"/>
        <v>0</v>
      </c>
      <c r="S37" s="48">
        <f>SQRT('Elektronik- Fonksiyon Hatası '!$D$148*(1-'Elektronik- Fonksiyon Hatası '!$D$148)/P37)</f>
        <v>2.1902695085416087E-2</v>
      </c>
      <c r="T37" s="48">
        <f>(R37-'Elektronik- Fonksiyon Hatası '!$D$148)/S37</f>
        <v>-0.26436307295072098</v>
      </c>
      <c r="U37" s="48">
        <f t="shared" si="10"/>
        <v>0</v>
      </c>
      <c r="V37" s="48">
        <f t="shared" si="11"/>
        <v>0</v>
      </c>
      <c r="W37" s="48">
        <f t="shared" si="5"/>
        <v>5</v>
      </c>
      <c r="X37" s="48">
        <f t="shared" si="6"/>
        <v>-5</v>
      </c>
      <c r="Y37" s="48">
        <f t="shared" si="12"/>
        <v>-0.23632298499813459</v>
      </c>
      <c r="Z37" s="48">
        <f>$B$5*SQRT(($B$4/(2-$B$4))*(1-(1-$B$4)^(2*27)))</f>
        <v>0.99999707699245344</v>
      </c>
      <c r="AA37" s="48">
        <f t="shared" si="7"/>
        <v>-0.99999707699245344</v>
      </c>
    </row>
    <row r="38" spans="1:27" x14ac:dyDescent="0.35">
      <c r="A38" s="53">
        <f>'Yazılım SW Hatası'!A29</f>
        <v>46077</v>
      </c>
      <c r="B38" s="48">
        <f>'Yazılım SW Hatası'!B29</f>
        <v>5</v>
      </c>
      <c r="C38" s="48">
        <f>'Yazılım SW Hatası'!C29</f>
        <v>0</v>
      </c>
      <c r="D38" s="48">
        <f t="shared" si="0"/>
        <v>0</v>
      </c>
      <c r="E38" s="48">
        <f>SQRT('Yazılım SW Hatası'!$D$148*(1-'Yazılım SW Hatası'!$D$148)/B38)</f>
        <v>3.1725648519103131E-2</v>
      </c>
      <c r="F38" s="48">
        <f>(D38-'Yazılım SW Hatası'!$D$148)/E38</f>
        <v>-0.159434690193866</v>
      </c>
      <c r="G38" s="48">
        <f t="shared" si="8"/>
        <v>0</v>
      </c>
      <c r="H38" s="48">
        <f t="shared" si="9"/>
        <v>0</v>
      </c>
      <c r="I38" s="48">
        <f t="shared" si="1"/>
        <v>5</v>
      </c>
      <c r="J38" s="48">
        <f t="shared" si="2"/>
        <v>-5</v>
      </c>
      <c r="K38" s="48">
        <f t="shared" si="13"/>
        <v>-0.15348479025641812</v>
      </c>
      <c r="L38" s="48">
        <f>$B$5*SQRT(($B$4/(2-$B$4))*(1-(1-$B$4)^(2*28)))</f>
        <v>0.99999812927615439</v>
      </c>
      <c r="M38" s="48">
        <f t="shared" si="3"/>
        <v>-0.99999812927615439</v>
      </c>
      <c r="O38" s="53">
        <f>'Elektronik- Fonksiyon Hatası '!A29</f>
        <v>46077</v>
      </c>
      <c r="P38" s="48">
        <f>'Elektronik- Fonksiyon Hatası '!B29</f>
        <v>5</v>
      </c>
      <c r="Q38" s="48">
        <f>'Elektronik- Fonksiyon Hatası '!C29</f>
        <v>0</v>
      </c>
      <c r="R38" s="48">
        <f t="shared" si="4"/>
        <v>0</v>
      </c>
      <c r="S38" s="48">
        <f>SQRT('Elektronik- Fonksiyon Hatası '!$D$148*(1-'Elektronik- Fonksiyon Hatası '!$D$148)/P38)</f>
        <v>3.3931509321150216E-2</v>
      </c>
      <c r="T38" s="48">
        <f>(R38-'Elektronik- Fonksiyon Hatası '!$D$148)/S38</f>
        <v>-0.17064562981505982</v>
      </c>
      <c r="U38" s="48">
        <f t="shared" si="10"/>
        <v>0</v>
      </c>
      <c r="V38" s="48">
        <f t="shared" si="11"/>
        <v>0</v>
      </c>
      <c r="W38" s="48">
        <f t="shared" si="5"/>
        <v>5</v>
      </c>
      <c r="X38" s="48">
        <f t="shared" si="6"/>
        <v>-5</v>
      </c>
      <c r="Y38" s="48">
        <f t="shared" si="12"/>
        <v>-0.22318751396151965</v>
      </c>
      <c r="Z38" s="48">
        <f>$B$5*SQRT(($B$4/(2-$B$4))*(1-(1-$B$4)^(2*28)))</f>
        <v>0.99999812927615439</v>
      </c>
      <c r="AA38" s="48">
        <f t="shared" si="7"/>
        <v>-0.99999812927615439</v>
      </c>
    </row>
    <row r="39" spans="1:27" x14ac:dyDescent="0.35">
      <c r="A39" s="53">
        <f>'Yazılım SW Hatası'!A30</f>
        <v>46078</v>
      </c>
      <c r="B39" s="48">
        <f>'Yazılım SW Hatası'!B30</f>
        <v>3</v>
      </c>
      <c r="C39" s="48">
        <f>'Yazılım SW Hatası'!C30</f>
        <v>0</v>
      </c>
      <c r="D39" s="48">
        <f t="shared" si="0"/>
        <v>0</v>
      </c>
      <c r="E39" s="48">
        <f>SQRT('Yazılım SW Hatası'!$D$148*(1-'Yazılım SW Hatası'!$D$148)/B39)</f>
        <v>4.0957636120705472E-2</v>
      </c>
      <c r="F39" s="48">
        <f>(D39-'Yazılım SW Hatası'!$D$148)/E39</f>
        <v>-0.12349757998571639</v>
      </c>
      <c r="G39" s="48">
        <f t="shared" si="8"/>
        <v>0</v>
      </c>
      <c r="H39" s="48">
        <f t="shared" si="9"/>
        <v>0</v>
      </c>
      <c r="I39" s="48">
        <f t="shared" si="1"/>
        <v>5</v>
      </c>
      <c r="J39" s="48">
        <f t="shared" si="2"/>
        <v>-5</v>
      </c>
      <c r="K39" s="48">
        <f t="shared" si="13"/>
        <v>-0.1474873482022778</v>
      </c>
      <c r="L39" s="48">
        <f>$B$5*SQRT(($B$4/(2-$B$4))*(1-(1-$B$4)^(2*29)))</f>
        <v>0.99999880273714203</v>
      </c>
      <c r="M39" s="48">
        <f t="shared" si="3"/>
        <v>-0.99999880273714203</v>
      </c>
      <c r="O39" s="53">
        <f>'Elektronik- Fonksiyon Hatası '!A30</f>
        <v>46078</v>
      </c>
      <c r="P39" s="48">
        <f>'Elektronik- Fonksiyon Hatası '!B30</f>
        <v>3</v>
      </c>
      <c r="Q39" s="48">
        <f>'Elektronik- Fonksiyon Hatası '!C30</f>
        <v>0</v>
      </c>
      <c r="R39" s="48">
        <f t="shared" si="4"/>
        <v>0</v>
      </c>
      <c r="S39" s="48">
        <f>SQRT('Elektronik- Fonksiyon Hatası '!$D$148*(1-'Elektronik- Fonksiyon Hatası '!$D$148)/P39)</f>
        <v>4.3805390170832174E-2</v>
      </c>
      <c r="T39" s="48">
        <f>(R39-'Elektronik- Fonksiyon Hatası '!$D$148)/S39</f>
        <v>-0.13218153647536049</v>
      </c>
      <c r="U39" s="48">
        <f t="shared" si="10"/>
        <v>0</v>
      </c>
      <c r="V39" s="48">
        <f t="shared" si="11"/>
        <v>0</v>
      </c>
      <c r="W39" s="48">
        <f t="shared" si="5"/>
        <v>5</v>
      </c>
      <c r="X39" s="48">
        <f t="shared" si="6"/>
        <v>-5</v>
      </c>
      <c r="Y39" s="48">
        <f t="shared" si="12"/>
        <v>-0.20498631846428783</v>
      </c>
      <c r="Z39" s="48">
        <f>$B$5*SQRT(($B$4/(2-$B$4))*(1-(1-$B$4)^(2*29)))</f>
        <v>0.99999880273714203</v>
      </c>
      <c r="AA39" s="48">
        <f t="shared" si="7"/>
        <v>-0.99999880273714203</v>
      </c>
    </row>
    <row r="40" spans="1:27" x14ac:dyDescent="0.35">
      <c r="A40" s="53">
        <f>'Yazılım SW Hatası'!A31</f>
        <v>46079</v>
      </c>
      <c r="B40" s="48">
        <f>'Yazılım SW Hatası'!B31</f>
        <v>2</v>
      </c>
      <c r="C40" s="48">
        <f>'Yazılım SW Hatası'!C31</f>
        <v>0</v>
      </c>
      <c r="D40" s="48">
        <f t="shared" si="0"/>
        <v>0</v>
      </c>
      <c r="E40" s="48">
        <f>SQRT('Yazılım SW Hatası'!$D$148*(1-'Yazılım SW Hatası'!$D$148)/B40)</f>
        <v>5.0162654783156922E-2</v>
      </c>
      <c r="F40" s="48">
        <f>(D40-'Yazılım SW Hatası'!$D$148)/E40</f>
        <v>-0.10083535181118582</v>
      </c>
      <c r="G40" s="48">
        <f t="shared" si="8"/>
        <v>0</v>
      </c>
      <c r="H40" s="48">
        <f t="shared" si="9"/>
        <v>0</v>
      </c>
      <c r="I40" s="48">
        <f t="shared" si="1"/>
        <v>5</v>
      </c>
      <c r="J40" s="48">
        <f t="shared" si="2"/>
        <v>-5</v>
      </c>
      <c r="K40" s="48">
        <f t="shared" si="13"/>
        <v>-0.13815694892405941</v>
      </c>
      <c r="L40" s="48">
        <f>$B$5*SQRT(($B$4/(2-$B$4))*(1-(1-$B$4)^(2*30)))</f>
        <v>0.99999923375193589</v>
      </c>
      <c r="M40" s="48">
        <f t="shared" si="3"/>
        <v>-0.99999923375193589</v>
      </c>
      <c r="O40" s="53">
        <f>'Elektronik- Fonksiyon Hatası '!A31</f>
        <v>46079</v>
      </c>
      <c r="P40" s="48">
        <f>'Elektronik- Fonksiyon Hatası '!B31</f>
        <v>2</v>
      </c>
      <c r="Q40" s="48">
        <f>'Elektronik- Fonksiyon Hatası '!C31</f>
        <v>0</v>
      </c>
      <c r="R40" s="48">
        <f t="shared" si="4"/>
        <v>0</v>
      </c>
      <c r="S40" s="48">
        <f>SQRT('Elektronik- Fonksiyon Hatası '!$D$148*(1-'Elektronik- Fonksiyon Hatası '!$D$148)/P40)</f>
        <v>5.3650426951034225E-2</v>
      </c>
      <c r="T40" s="48">
        <f>(R40-'Elektronik- Fonksiyon Hatası '!$D$148)/S40</f>
        <v>-0.10792577259390536</v>
      </c>
      <c r="U40" s="48">
        <f t="shared" si="10"/>
        <v>0</v>
      </c>
      <c r="V40" s="48">
        <f t="shared" si="11"/>
        <v>0</v>
      </c>
      <c r="W40" s="48">
        <f t="shared" si="5"/>
        <v>5</v>
      </c>
      <c r="X40" s="48">
        <f t="shared" si="6"/>
        <v>-5</v>
      </c>
      <c r="Y40" s="48">
        <f t="shared" si="12"/>
        <v>-0.18557420929021134</v>
      </c>
      <c r="Z40" s="48">
        <f>$B$5*SQRT(($B$4/(2-$B$4))*(1-(1-$B$4)^(2*30)))</f>
        <v>0.99999923375193589</v>
      </c>
      <c r="AA40" s="48">
        <f t="shared" si="7"/>
        <v>-0.99999923375193589</v>
      </c>
    </row>
    <row r="41" spans="1:27" x14ac:dyDescent="0.35">
      <c r="A41" s="53">
        <f>'Yazılım SW Hatası'!A32</f>
        <v>46081</v>
      </c>
      <c r="B41" s="48">
        <f>'Yazılım SW Hatası'!B32</f>
        <v>28</v>
      </c>
      <c r="C41" s="48">
        <f>'Yazılım SW Hatası'!C32</f>
        <v>0</v>
      </c>
      <c r="D41" s="48">
        <f t="shared" si="0"/>
        <v>0</v>
      </c>
      <c r="E41" s="48">
        <f>SQRT('Yazılım SW Hatası'!$D$148*(1-'Yazılım SW Hatası'!$D$148)/B41)</f>
        <v>1.3406533414970735E-2</v>
      </c>
      <c r="F41" s="48">
        <f>(D41-'Yazılım SW Hatası'!$D$148)/E41</f>
        <v>-0.37729133895227251</v>
      </c>
      <c r="G41" s="48">
        <f t="shared" si="8"/>
        <v>0</v>
      </c>
      <c r="H41" s="48">
        <f t="shared" si="9"/>
        <v>0</v>
      </c>
      <c r="I41" s="48">
        <f t="shared" si="1"/>
        <v>5</v>
      </c>
      <c r="J41" s="48">
        <f t="shared" si="2"/>
        <v>-5</v>
      </c>
      <c r="K41" s="48">
        <f t="shared" si="13"/>
        <v>-0.18598382692970206</v>
      </c>
      <c r="L41" s="48">
        <f>$B$5*SQRT(($B$4/(2-$B$4))*(1-(1-$B$4)^(2*31)))</f>
        <v>0.99999950960130679</v>
      </c>
      <c r="M41" s="48">
        <f t="shared" si="3"/>
        <v>-0.99999950960130679</v>
      </c>
      <c r="O41" s="53">
        <f>'Elektronik- Fonksiyon Hatası '!A32</f>
        <v>46081</v>
      </c>
      <c r="P41" s="48">
        <f>'Elektronik- Fonksiyon Hatası '!B32</f>
        <v>28</v>
      </c>
      <c r="Q41" s="48">
        <f>'Elektronik- Fonksiyon Hatası '!C32</f>
        <v>0</v>
      </c>
      <c r="R41" s="48">
        <f t="shared" si="4"/>
        <v>0</v>
      </c>
      <c r="S41" s="48">
        <f>SQRT('Elektronik- Fonksiyon Hatası '!$D$148*(1-'Elektronik- Fonksiyon Hatası '!$D$148)/P41)</f>
        <v>1.4338679736065211E-2</v>
      </c>
      <c r="T41" s="48">
        <f>(R41-'Elektronik- Fonksiyon Hatası '!$D$148)/S41</f>
        <v>-0.40382126424927062</v>
      </c>
      <c r="U41" s="48">
        <f t="shared" si="10"/>
        <v>0</v>
      </c>
      <c r="V41" s="48">
        <f t="shared" si="11"/>
        <v>0</v>
      </c>
      <c r="W41" s="48">
        <f t="shared" si="5"/>
        <v>5</v>
      </c>
      <c r="X41" s="48">
        <f t="shared" si="6"/>
        <v>-5</v>
      </c>
      <c r="Y41" s="48">
        <f t="shared" si="12"/>
        <v>-0.2292236202820232</v>
      </c>
      <c r="Z41" s="48">
        <f>$B$5*SQRT(($B$4/(2-$B$4))*(1-(1-$B$4)^(2*31)))</f>
        <v>0.99999950960130679</v>
      </c>
      <c r="AA41" s="48">
        <f t="shared" si="7"/>
        <v>-0.99999950960130679</v>
      </c>
    </row>
    <row r="42" spans="1:27" x14ac:dyDescent="0.35">
      <c r="A42" s="53">
        <f>'Yazılım SW Hatası'!A33</f>
        <v>46083</v>
      </c>
      <c r="B42" s="48">
        <f>'Yazılım SW Hatası'!B33</f>
        <v>2</v>
      </c>
      <c r="C42" s="48">
        <f>'Yazılım SW Hatası'!C33</f>
        <v>0</v>
      </c>
      <c r="D42" s="48">
        <f t="shared" si="0"/>
        <v>0</v>
      </c>
      <c r="E42" s="48">
        <f>SQRT('Yazılım SW Hatası'!$D$148*(1-'Yazılım SW Hatası'!$D$148)/B42)</f>
        <v>5.0162654783156922E-2</v>
      </c>
      <c r="F42" s="48">
        <f>(D42-'Yazılım SW Hatası'!$D$148)/E42</f>
        <v>-0.10083535181118582</v>
      </c>
      <c r="G42" s="48">
        <f t="shared" si="8"/>
        <v>0</v>
      </c>
      <c r="H42" s="48">
        <f t="shared" si="9"/>
        <v>0</v>
      </c>
      <c r="I42" s="48">
        <f t="shared" si="1"/>
        <v>5</v>
      </c>
      <c r="J42" s="48">
        <f t="shared" si="2"/>
        <v>-5</v>
      </c>
      <c r="K42" s="48">
        <f t="shared" si="13"/>
        <v>-0.16895413190599881</v>
      </c>
      <c r="L42" s="48">
        <f>$B$5*SQRT(($B$4/(2-$B$4))*(1-(1-$B$4)^(2*32)))</f>
        <v>0.99999968614486412</v>
      </c>
      <c r="M42" s="48">
        <f t="shared" si="3"/>
        <v>-0.99999968614486412</v>
      </c>
      <c r="O42" s="53">
        <f>'Elektronik- Fonksiyon Hatası '!A33</f>
        <v>46083</v>
      </c>
      <c r="P42" s="48">
        <f>'Elektronik- Fonksiyon Hatası '!B33</f>
        <v>30</v>
      </c>
      <c r="Q42" s="48">
        <f>'Elektronik- Fonksiyon Hatası '!C33</f>
        <v>1</v>
      </c>
      <c r="R42" s="48">
        <f t="shared" si="4"/>
        <v>3.3333333333333333E-2</v>
      </c>
      <c r="S42" s="48">
        <f>SQRT('Elektronik- Fonksiyon Hatası '!$D$148*(1-'Elektronik- Fonksiyon Hatası '!$D$148)/P42)</f>
        <v>1.3852480673218209E-2</v>
      </c>
      <c r="T42" s="48">
        <f>(R42-'Elektronik- Fonksiyon Hatası '!$D$148)/S42</f>
        <v>1.9883131551954207</v>
      </c>
      <c r="U42" s="48">
        <f t="shared" si="10"/>
        <v>1.4883131551954207</v>
      </c>
      <c r="V42" s="48">
        <f t="shared" si="11"/>
        <v>0</v>
      </c>
      <c r="W42" s="48">
        <f t="shared" si="5"/>
        <v>5</v>
      </c>
      <c r="X42" s="48">
        <f t="shared" si="6"/>
        <v>-5</v>
      </c>
      <c r="Y42" s="48">
        <f t="shared" si="12"/>
        <v>0.2142837348134656</v>
      </c>
      <c r="Z42" s="48">
        <f>$B$5*SQRT(($B$4/(2-$B$4))*(1-(1-$B$4)^(2*32)))</f>
        <v>0.99999968614486412</v>
      </c>
      <c r="AA42" s="48">
        <f t="shared" si="7"/>
        <v>-0.99999968614486412</v>
      </c>
    </row>
    <row r="43" spans="1:27" x14ac:dyDescent="0.35">
      <c r="A43" s="53">
        <f>'Yazılım SW Hatası'!A34</f>
        <v>46084</v>
      </c>
      <c r="B43" s="48">
        <f>'Yazılım SW Hatası'!B34</f>
        <v>133</v>
      </c>
      <c r="C43" s="48">
        <f>'Yazılım SW Hatası'!C34</f>
        <v>1</v>
      </c>
      <c r="D43" s="48">
        <f t="shared" ref="D43:D74" si="14">C43/B43</f>
        <v>7.5187969924812026E-3</v>
      </c>
      <c r="E43" s="48">
        <f>SQRT('Yazılım SW Hatası'!$D$148*(1-'Yazılım SW Hatası'!$D$148)/B43)</f>
        <v>6.1513394041114392E-3</v>
      </c>
      <c r="F43" s="48">
        <f>(D43-'Yazılım SW Hatası'!$D$148)/E43</f>
        <v>0.4000150029104026</v>
      </c>
      <c r="G43" s="48">
        <f t="shared" si="8"/>
        <v>0</v>
      </c>
      <c r="H43" s="48">
        <f t="shared" si="9"/>
        <v>0</v>
      </c>
      <c r="I43" s="48">
        <f t="shared" ref="I43:I74" si="15">$B$3</f>
        <v>5</v>
      </c>
      <c r="J43" s="48">
        <f t="shared" ref="J43:J74" si="16">-$B$3</f>
        <v>-5</v>
      </c>
      <c r="K43" s="48">
        <f t="shared" si="13"/>
        <v>-5.5160304942718522E-2</v>
      </c>
      <c r="L43" s="48">
        <f>$B$5*SQRT(($B$4/(2-$B$4))*(1-(1-$B$4)^(2*33)))</f>
        <v>0.9999997991327243</v>
      </c>
      <c r="M43" s="48">
        <f t="shared" ref="M43:M74" si="17">-L43</f>
        <v>-0.9999997991327243</v>
      </c>
      <c r="O43" s="53">
        <f>'Elektronik- Fonksiyon Hatası '!A34</f>
        <v>46084</v>
      </c>
      <c r="P43" s="48">
        <f>'Elektronik- Fonksiyon Hatası '!B34</f>
        <v>197</v>
      </c>
      <c r="Q43" s="48">
        <f>'Elektronik- Fonksiyon Hatası '!C34</f>
        <v>4</v>
      </c>
      <c r="R43" s="48">
        <f t="shared" ref="R43:R74" si="18">Q43/P43</f>
        <v>2.030456852791878E-2</v>
      </c>
      <c r="S43" s="48">
        <f>SQRT('Elektronik- Fonksiyon Hatası '!$D$148*(1-'Elektronik- Fonksiyon Hatası '!$D$148)/P43)</f>
        <v>5.4057389245212219E-3</v>
      </c>
      <c r="T43" s="48">
        <f>(R43-'Elektronik- Fonksiyon Hatası '!$D$148)/S43</f>
        <v>2.6849807125158267</v>
      </c>
      <c r="U43" s="48">
        <f t="shared" si="10"/>
        <v>3.6732938677112474</v>
      </c>
      <c r="V43" s="48">
        <f t="shared" si="11"/>
        <v>0</v>
      </c>
      <c r="W43" s="48">
        <f t="shared" ref="W43:W74" si="19">$B$3</f>
        <v>5</v>
      </c>
      <c r="X43" s="48">
        <f t="shared" ref="X43:X74" si="20">-$B$3</f>
        <v>-5</v>
      </c>
      <c r="Y43" s="48">
        <f t="shared" si="12"/>
        <v>0.70842313035393789</v>
      </c>
      <c r="Z43" s="48">
        <f>$B$5*SQRT(($B$4/(2-$B$4))*(1-(1-$B$4)^(2*33)))</f>
        <v>0.9999997991327243</v>
      </c>
      <c r="AA43" s="48">
        <f t="shared" ref="AA43:AA74" si="21">-Z43</f>
        <v>-0.9999997991327243</v>
      </c>
    </row>
    <row r="44" spans="1:27" x14ac:dyDescent="0.35">
      <c r="A44" s="53">
        <f>'Yazılım SW Hatası'!A35</f>
        <v>46086</v>
      </c>
      <c r="B44" s="48">
        <f>'Yazılım SW Hatası'!B35</f>
        <v>5</v>
      </c>
      <c r="C44" s="48">
        <f>'Yazılım SW Hatası'!C35</f>
        <v>0</v>
      </c>
      <c r="D44" s="48">
        <f t="shared" si="14"/>
        <v>0</v>
      </c>
      <c r="E44" s="48">
        <f>SQRT('Yazılım SW Hatası'!$D$148*(1-'Yazılım SW Hatası'!$D$148)/B44)</f>
        <v>3.1725648519103131E-2</v>
      </c>
      <c r="F44" s="48">
        <f>(D44-'Yazılım SW Hatası'!$D$148)/E44</f>
        <v>-0.159434690193866</v>
      </c>
      <c r="G44" s="48">
        <f t="shared" ref="G44:G75" si="22">MAX(0,F44-$B$2+G43)</f>
        <v>0</v>
      </c>
      <c r="H44" s="48">
        <f t="shared" ref="H44:H75" si="23">MAX(0,-F44-$B$2+H43)</f>
        <v>0</v>
      </c>
      <c r="I44" s="48">
        <f t="shared" si="15"/>
        <v>5</v>
      </c>
      <c r="J44" s="48">
        <f t="shared" si="16"/>
        <v>-5</v>
      </c>
      <c r="K44" s="48">
        <f t="shared" ref="K44:K75" si="24">$B$4*F44+(1-$B$4)*K43</f>
        <v>-7.6015181992948017E-2</v>
      </c>
      <c r="L44" s="48">
        <f>$B$5*SQRT(($B$4/(2-$B$4))*(1-(1-$B$4)^(2*34)))</f>
        <v>0.99999987144494817</v>
      </c>
      <c r="M44" s="48">
        <f t="shared" si="17"/>
        <v>-0.99999987144494817</v>
      </c>
      <c r="O44" s="53">
        <f>'Elektronik- Fonksiyon Hatası '!A35</f>
        <v>46086</v>
      </c>
      <c r="P44" s="48">
        <f>'Elektronik- Fonksiyon Hatası '!B35</f>
        <v>5</v>
      </c>
      <c r="Q44" s="48">
        <f>'Elektronik- Fonksiyon Hatası '!C35</f>
        <v>0</v>
      </c>
      <c r="R44" s="48">
        <f t="shared" si="18"/>
        <v>0</v>
      </c>
      <c r="S44" s="48">
        <f>SQRT('Elektronik- Fonksiyon Hatası '!$D$148*(1-'Elektronik- Fonksiyon Hatası '!$D$148)/P44)</f>
        <v>3.3931509321150216E-2</v>
      </c>
      <c r="T44" s="48">
        <f>(R44-'Elektronik- Fonksiyon Hatası '!$D$148)/S44</f>
        <v>-0.17064562981505982</v>
      </c>
      <c r="U44" s="48">
        <f t="shared" ref="U44:U75" si="25">MAX(0,T44-$B$2+U43)</f>
        <v>3.0026482378961878</v>
      </c>
      <c r="V44" s="48">
        <f t="shared" ref="V44:V75" si="26">MAX(0,-T44-$B$2+V43)</f>
        <v>0</v>
      </c>
      <c r="W44" s="48">
        <f t="shared" si="19"/>
        <v>5</v>
      </c>
      <c r="X44" s="48">
        <f t="shared" si="20"/>
        <v>-5</v>
      </c>
      <c r="Y44" s="48">
        <f t="shared" ref="Y44:Y75" si="27">$B$4*T44+(1-$B$4)*Y43</f>
        <v>0.53260937832013833</v>
      </c>
      <c r="Z44" s="48">
        <f>$B$5*SQRT(($B$4/(2-$B$4))*(1-(1-$B$4)^(2*34)))</f>
        <v>0.99999987144494817</v>
      </c>
      <c r="AA44" s="48">
        <f t="shared" si="21"/>
        <v>-0.99999987144494817</v>
      </c>
    </row>
    <row r="45" spans="1:27" x14ac:dyDescent="0.35">
      <c r="A45" s="53">
        <f>'Yazılım SW Hatası'!A36</f>
        <v>46087</v>
      </c>
      <c r="B45" s="48">
        <f>'Yazılım SW Hatası'!B36</f>
        <v>2</v>
      </c>
      <c r="C45" s="48">
        <f>'Yazılım SW Hatası'!C36</f>
        <v>0</v>
      </c>
      <c r="D45" s="48">
        <f t="shared" si="14"/>
        <v>0</v>
      </c>
      <c r="E45" s="48">
        <f>SQRT('Yazılım SW Hatası'!$D$148*(1-'Yazılım SW Hatası'!$D$148)/B45)</f>
        <v>5.0162654783156922E-2</v>
      </c>
      <c r="F45" s="48">
        <f>(D45-'Yazılım SW Hatası'!$D$148)/E45</f>
        <v>-0.10083535181118582</v>
      </c>
      <c r="G45" s="48">
        <f t="shared" si="22"/>
        <v>0</v>
      </c>
      <c r="H45" s="48">
        <f t="shared" si="23"/>
        <v>0</v>
      </c>
      <c r="I45" s="48">
        <f t="shared" si="15"/>
        <v>5</v>
      </c>
      <c r="J45" s="48">
        <f t="shared" si="16"/>
        <v>-5</v>
      </c>
      <c r="K45" s="48">
        <f t="shared" si="24"/>
        <v>-8.0979215956595574E-2</v>
      </c>
      <c r="L45" s="48">
        <f>$B$5*SQRT(($B$4/(2-$B$4))*(1-(1-$B$4)^(2*35)))</f>
        <v>0.99999991772476882</v>
      </c>
      <c r="M45" s="48">
        <f t="shared" si="17"/>
        <v>-0.99999991772476882</v>
      </c>
      <c r="O45" s="53">
        <f>'Elektronik- Fonksiyon Hatası '!A36</f>
        <v>46087</v>
      </c>
      <c r="P45" s="48">
        <f>'Elektronik- Fonksiyon Hatası '!B36</f>
        <v>2</v>
      </c>
      <c r="Q45" s="48">
        <f>'Elektronik- Fonksiyon Hatası '!C36</f>
        <v>0</v>
      </c>
      <c r="R45" s="48">
        <f t="shared" si="18"/>
        <v>0</v>
      </c>
      <c r="S45" s="48">
        <f>SQRT('Elektronik- Fonksiyon Hatası '!$D$148*(1-'Elektronik- Fonksiyon Hatası '!$D$148)/P45)</f>
        <v>5.3650426951034225E-2</v>
      </c>
      <c r="T45" s="48">
        <f>(R45-'Elektronik- Fonksiyon Hatası '!$D$148)/S45</f>
        <v>-0.10792577259390536</v>
      </c>
      <c r="U45" s="48">
        <f t="shared" si="25"/>
        <v>2.3947224653022827</v>
      </c>
      <c r="V45" s="48">
        <f t="shared" si="26"/>
        <v>0</v>
      </c>
      <c r="W45" s="48">
        <f t="shared" si="19"/>
        <v>5</v>
      </c>
      <c r="X45" s="48">
        <f t="shared" si="20"/>
        <v>-5</v>
      </c>
      <c r="Y45" s="48">
        <f t="shared" si="27"/>
        <v>0.4045023481373296</v>
      </c>
      <c r="Z45" s="48">
        <f>$B$5*SQRT(($B$4/(2-$B$4))*(1-(1-$B$4)^(2*35)))</f>
        <v>0.99999991772476882</v>
      </c>
      <c r="AA45" s="48">
        <f t="shared" si="21"/>
        <v>-0.99999991772476882</v>
      </c>
    </row>
    <row r="46" spans="1:27" x14ac:dyDescent="0.35">
      <c r="A46" s="53">
        <f>'Yazılım SW Hatası'!A37</f>
        <v>46090</v>
      </c>
      <c r="B46" s="48">
        <f>'Yazılım SW Hatası'!B37</f>
        <v>2</v>
      </c>
      <c r="C46" s="48">
        <f>'Yazılım SW Hatası'!C37</f>
        <v>0</v>
      </c>
      <c r="D46" s="48">
        <f t="shared" si="14"/>
        <v>0</v>
      </c>
      <c r="E46" s="48">
        <f>SQRT('Yazılım SW Hatası'!$D$148*(1-'Yazılım SW Hatası'!$D$148)/B46)</f>
        <v>5.0162654783156922E-2</v>
      </c>
      <c r="F46" s="48">
        <f>(D46-'Yazılım SW Hatası'!$D$148)/E46</f>
        <v>-0.10083535181118582</v>
      </c>
      <c r="G46" s="48">
        <f t="shared" si="22"/>
        <v>0</v>
      </c>
      <c r="H46" s="48">
        <f t="shared" si="23"/>
        <v>0</v>
      </c>
      <c r="I46" s="48">
        <f t="shared" si="15"/>
        <v>5</v>
      </c>
      <c r="J46" s="48">
        <f t="shared" si="16"/>
        <v>-5</v>
      </c>
      <c r="K46" s="48">
        <f t="shared" si="24"/>
        <v>-8.4950443127513625E-2</v>
      </c>
      <c r="L46" s="48">
        <f>$B$5*SQRT(($B$4/(2-$B$4))*(1-(1-$B$4)^(2*36)))</f>
        <v>0.99999994734385278</v>
      </c>
      <c r="M46" s="48">
        <f t="shared" si="17"/>
        <v>-0.99999994734385278</v>
      </c>
      <c r="O46" s="53">
        <f>'Elektronik- Fonksiyon Hatası '!A37</f>
        <v>46090</v>
      </c>
      <c r="P46" s="48">
        <f>'Elektronik- Fonksiyon Hatası '!B37</f>
        <v>2</v>
      </c>
      <c r="Q46" s="48">
        <f>'Elektronik- Fonksiyon Hatası '!C37</f>
        <v>0</v>
      </c>
      <c r="R46" s="48">
        <f t="shared" si="18"/>
        <v>0</v>
      </c>
      <c r="S46" s="48">
        <f>SQRT('Elektronik- Fonksiyon Hatası '!$D$148*(1-'Elektronik- Fonksiyon Hatası '!$D$148)/P46)</f>
        <v>5.3650426951034225E-2</v>
      </c>
      <c r="T46" s="48">
        <f>(R46-'Elektronik- Fonksiyon Hatası '!$D$148)/S46</f>
        <v>-0.10792577259390536</v>
      </c>
      <c r="U46" s="48">
        <f t="shared" si="25"/>
        <v>1.7867966927083774</v>
      </c>
      <c r="V46" s="48">
        <f t="shared" si="26"/>
        <v>0</v>
      </c>
      <c r="W46" s="48">
        <f t="shared" si="19"/>
        <v>5</v>
      </c>
      <c r="X46" s="48">
        <f t="shared" si="20"/>
        <v>-5</v>
      </c>
      <c r="Y46" s="48">
        <f t="shared" si="27"/>
        <v>0.30201672399108265</v>
      </c>
      <c r="Z46" s="48">
        <f>$B$5*SQRT(($B$4/(2-$B$4))*(1-(1-$B$4)^(2*36)))</f>
        <v>0.99999994734385278</v>
      </c>
      <c r="AA46" s="48">
        <f t="shared" si="21"/>
        <v>-0.99999994734385278</v>
      </c>
    </row>
    <row r="47" spans="1:27" x14ac:dyDescent="0.35">
      <c r="A47" s="53">
        <f>'Yazılım SW Hatası'!A38</f>
        <v>46091</v>
      </c>
      <c r="B47" s="48">
        <f>'Yazılım SW Hatası'!B38</f>
        <v>2</v>
      </c>
      <c r="C47" s="48">
        <f>'Yazılım SW Hatası'!C38</f>
        <v>0</v>
      </c>
      <c r="D47" s="48">
        <f t="shared" si="14"/>
        <v>0</v>
      </c>
      <c r="E47" s="48">
        <f>SQRT('Yazılım SW Hatası'!$D$148*(1-'Yazılım SW Hatası'!$D$148)/B47)</f>
        <v>5.0162654783156922E-2</v>
      </c>
      <c r="F47" s="48">
        <f>(D47-'Yazılım SW Hatası'!$D$148)/E47</f>
        <v>-0.10083535181118582</v>
      </c>
      <c r="G47" s="48">
        <f t="shared" si="22"/>
        <v>0</v>
      </c>
      <c r="H47" s="48">
        <f t="shared" si="23"/>
        <v>0</v>
      </c>
      <c r="I47" s="48">
        <f t="shared" si="15"/>
        <v>5</v>
      </c>
      <c r="J47" s="48">
        <f t="shared" si="16"/>
        <v>-5</v>
      </c>
      <c r="K47" s="48">
        <f t="shared" si="24"/>
        <v>-8.8127424864248072E-2</v>
      </c>
      <c r="L47" s="48">
        <f>$B$5*SQRT(($B$4/(2-$B$4))*(1-(1-$B$4)^(2*37)))</f>
        <v>0.99999996630006605</v>
      </c>
      <c r="M47" s="48">
        <f t="shared" si="17"/>
        <v>-0.99999996630006605</v>
      </c>
      <c r="O47" s="53">
        <f>'Elektronik- Fonksiyon Hatası '!A38</f>
        <v>46091</v>
      </c>
      <c r="P47" s="48">
        <f>'Elektronik- Fonksiyon Hatası '!B38</f>
        <v>2</v>
      </c>
      <c r="Q47" s="48">
        <f>'Elektronik- Fonksiyon Hatası '!C38</f>
        <v>0</v>
      </c>
      <c r="R47" s="48">
        <f t="shared" si="18"/>
        <v>0</v>
      </c>
      <c r="S47" s="48">
        <f>SQRT('Elektronik- Fonksiyon Hatası '!$D$148*(1-'Elektronik- Fonksiyon Hatası '!$D$148)/P47)</f>
        <v>5.3650426951034225E-2</v>
      </c>
      <c r="T47" s="48">
        <f>(R47-'Elektronik- Fonksiyon Hatası '!$D$148)/S47</f>
        <v>-0.10792577259390536</v>
      </c>
      <c r="U47" s="48">
        <f t="shared" si="25"/>
        <v>1.178870920114472</v>
      </c>
      <c r="V47" s="48">
        <f t="shared" si="26"/>
        <v>0</v>
      </c>
      <c r="W47" s="48">
        <f t="shared" si="19"/>
        <v>5</v>
      </c>
      <c r="X47" s="48">
        <f t="shared" si="20"/>
        <v>-5</v>
      </c>
      <c r="Y47" s="48">
        <f t="shared" si="27"/>
        <v>0.22002822467408506</v>
      </c>
      <c r="Z47" s="48">
        <f>$B$5*SQRT(($B$4/(2-$B$4))*(1-(1-$B$4)^(2*37)))</f>
        <v>0.99999996630006605</v>
      </c>
      <c r="AA47" s="48">
        <f t="shared" si="21"/>
        <v>-0.99999996630006605</v>
      </c>
    </row>
    <row r="48" spans="1:27" x14ac:dyDescent="0.35">
      <c r="A48" s="53">
        <f>'Yazılım SW Hatası'!A39</f>
        <v>46092</v>
      </c>
      <c r="B48" s="48">
        <f>'Yazılım SW Hatası'!B39</f>
        <v>9</v>
      </c>
      <c r="C48" s="48">
        <f>'Yazılım SW Hatası'!C39</f>
        <v>0</v>
      </c>
      <c r="D48" s="48">
        <f t="shared" si="14"/>
        <v>0</v>
      </c>
      <c r="E48" s="48">
        <f>SQRT('Yazılım SW Hatası'!$D$148*(1-'Yazılım SW Hatası'!$D$148)/B48)</f>
        <v>2.3646902239660043E-2</v>
      </c>
      <c r="F48" s="48">
        <f>(D48-'Yazılım SW Hatası'!$D$148)/E48</f>
        <v>-0.21390408314706211</v>
      </c>
      <c r="G48" s="48">
        <f t="shared" si="22"/>
        <v>0</v>
      </c>
      <c r="H48" s="48">
        <f t="shared" si="23"/>
        <v>0</v>
      </c>
      <c r="I48" s="48">
        <f t="shared" si="15"/>
        <v>5</v>
      </c>
      <c r="J48" s="48">
        <f t="shared" si="16"/>
        <v>-5</v>
      </c>
      <c r="K48" s="48">
        <f t="shared" si="24"/>
        <v>-0.11328275652081088</v>
      </c>
      <c r="L48" s="48">
        <f>$B$5*SQRT(($B$4/(2-$B$4))*(1-(1-$B$4)^(2*38)))</f>
        <v>0.99999997843204258</v>
      </c>
      <c r="M48" s="48">
        <f t="shared" si="17"/>
        <v>-0.99999997843204258</v>
      </c>
      <c r="O48" s="53">
        <f>'Elektronik- Fonksiyon Hatası '!A39</f>
        <v>46092</v>
      </c>
      <c r="P48" s="48">
        <f>'Elektronik- Fonksiyon Hatası '!B39</f>
        <v>70</v>
      </c>
      <c r="Q48" s="48">
        <f>'Elektronik- Fonksiyon Hatası '!C39</f>
        <v>2</v>
      </c>
      <c r="R48" s="48">
        <f t="shared" si="18"/>
        <v>2.8571428571428571E-2</v>
      </c>
      <c r="S48" s="48">
        <f>SQRT('Elektronik- Fonksiyon Hatası '!$D$148*(1-'Elektronik- Fonksiyon Hatası '!$D$148)/P48)</f>
        <v>9.0685773211336106E-3</v>
      </c>
      <c r="T48" s="48">
        <f>(R48-'Elektronik- Fonksiyon Hatası '!$D$148)/S48</f>
        <v>2.5120990852286824</v>
      </c>
      <c r="U48" s="48">
        <f t="shared" si="25"/>
        <v>3.1909700053431544</v>
      </c>
      <c r="V48" s="48">
        <f t="shared" si="26"/>
        <v>0</v>
      </c>
      <c r="W48" s="48">
        <f t="shared" si="19"/>
        <v>5</v>
      </c>
      <c r="X48" s="48">
        <f t="shared" si="20"/>
        <v>-5</v>
      </c>
      <c r="Y48" s="48">
        <f t="shared" si="27"/>
        <v>0.67844239678500451</v>
      </c>
      <c r="Z48" s="48">
        <f>$B$5*SQRT(($B$4/(2-$B$4))*(1-(1-$B$4)^(2*38)))</f>
        <v>0.99999997843204258</v>
      </c>
      <c r="AA48" s="48">
        <f t="shared" si="21"/>
        <v>-0.99999997843204258</v>
      </c>
    </row>
    <row r="49" spans="1:27" x14ac:dyDescent="0.35">
      <c r="A49" s="53">
        <f>'Yazılım SW Hatası'!A40</f>
        <v>46093</v>
      </c>
      <c r="B49" s="48">
        <f>'Yazılım SW Hatası'!B40</f>
        <v>23</v>
      </c>
      <c r="C49" s="48">
        <f>'Yazılım SW Hatası'!C40</f>
        <v>0</v>
      </c>
      <c r="D49" s="48">
        <f t="shared" si="14"/>
        <v>0</v>
      </c>
      <c r="E49" s="48">
        <f>SQRT('Yazılım SW Hatası'!$D$148*(1-'Yazılım SW Hatası'!$D$148)/B49)</f>
        <v>1.4792159894302929E-2</v>
      </c>
      <c r="F49" s="48">
        <f>(D49-'Yazılım SW Hatası'!$D$148)/E49</f>
        <v>-0.34194931497399517</v>
      </c>
      <c r="G49" s="48">
        <f t="shared" si="22"/>
        <v>0</v>
      </c>
      <c r="H49" s="48">
        <f t="shared" si="23"/>
        <v>0</v>
      </c>
      <c r="I49" s="48">
        <f t="shared" si="15"/>
        <v>5</v>
      </c>
      <c r="J49" s="48">
        <f t="shared" si="16"/>
        <v>-5</v>
      </c>
      <c r="K49" s="48">
        <f t="shared" si="24"/>
        <v>-0.15901606821144776</v>
      </c>
      <c r="L49" s="48">
        <f>$B$5*SQRT(($B$4/(2-$B$4))*(1-(1-$B$4)^(2*39)))</f>
        <v>0.99999998619650721</v>
      </c>
      <c r="M49" s="48">
        <f t="shared" si="17"/>
        <v>-0.99999998619650721</v>
      </c>
      <c r="O49" s="53">
        <f>'Elektronik- Fonksiyon Hatası '!A40</f>
        <v>46093</v>
      </c>
      <c r="P49" s="48">
        <f>'Elektronik- Fonksiyon Hatası '!B40</f>
        <v>23</v>
      </c>
      <c r="Q49" s="48">
        <f>'Elektronik- Fonksiyon Hatası '!C40</f>
        <v>0</v>
      </c>
      <c r="R49" s="48">
        <f t="shared" si="18"/>
        <v>0</v>
      </c>
      <c r="S49" s="48">
        <f>SQRT('Elektronik- Fonksiyon Hatası '!$D$148*(1-'Elektronik- Fonksiyon Hatası '!$D$148)/P49)</f>
        <v>1.5820647796411801E-2</v>
      </c>
      <c r="T49" s="48">
        <f>(R49-'Elektronik- Fonksiyon Hatası '!$D$148)/S49</f>
        <v>-0.36599410170780178</v>
      </c>
      <c r="U49" s="48">
        <f t="shared" si="25"/>
        <v>2.3249759036353526</v>
      </c>
      <c r="V49" s="48">
        <f t="shared" si="26"/>
        <v>0</v>
      </c>
      <c r="W49" s="48">
        <f t="shared" si="19"/>
        <v>5</v>
      </c>
      <c r="X49" s="48">
        <f t="shared" si="20"/>
        <v>-5</v>
      </c>
      <c r="Y49" s="48">
        <f t="shared" si="27"/>
        <v>0.46955509708644327</v>
      </c>
      <c r="Z49" s="48">
        <f>$B$5*SQRT(($B$4/(2-$B$4))*(1-(1-$B$4)^(2*39)))</f>
        <v>0.99999998619650721</v>
      </c>
      <c r="AA49" s="48">
        <f t="shared" si="21"/>
        <v>-0.99999998619650721</v>
      </c>
    </row>
    <row r="50" spans="1:27" x14ac:dyDescent="0.35">
      <c r="A50" s="53">
        <f>'Yazılım SW Hatası'!A41</f>
        <v>46094</v>
      </c>
      <c r="B50" s="48">
        <f>'Yazılım SW Hatası'!B41</f>
        <v>1</v>
      </c>
      <c r="C50" s="48">
        <f>'Yazılım SW Hatası'!C41</f>
        <v>0</v>
      </c>
      <c r="D50" s="48">
        <f t="shared" si="14"/>
        <v>0</v>
      </c>
      <c r="E50" s="48">
        <f>SQRT('Yazılım SW Hatası'!$D$148*(1-'Yazılım SW Hatası'!$D$148)/B50)</f>
        <v>7.0940706718980132E-2</v>
      </c>
      <c r="F50" s="48">
        <f>(D50-'Yazılım SW Hatası'!$D$148)/E50</f>
        <v>-7.1301361049020698E-2</v>
      </c>
      <c r="G50" s="48">
        <f t="shared" si="22"/>
        <v>0</v>
      </c>
      <c r="H50" s="48">
        <f t="shared" si="23"/>
        <v>0</v>
      </c>
      <c r="I50" s="48">
        <f t="shared" si="15"/>
        <v>5</v>
      </c>
      <c r="J50" s="48">
        <f t="shared" si="16"/>
        <v>-5</v>
      </c>
      <c r="K50" s="48">
        <f t="shared" si="24"/>
        <v>-0.14147312677896234</v>
      </c>
      <c r="L50" s="48">
        <f>$B$5*SQRT(($B$4/(2-$B$4))*(1-(1-$B$4)^(2*40)))</f>
        <v>0.99999999116576466</v>
      </c>
      <c r="M50" s="48">
        <f t="shared" si="17"/>
        <v>-0.99999999116576466</v>
      </c>
      <c r="O50" s="53">
        <f>'Elektronik- Fonksiyon Hatası '!A41</f>
        <v>46094</v>
      </c>
      <c r="P50" s="48">
        <f>'Elektronik- Fonksiyon Hatası '!B41</f>
        <v>1</v>
      </c>
      <c r="Q50" s="48">
        <f>'Elektronik- Fonksiyon Hatası '!C41</f>
        <v>0</v>
      </c>
      <c r="R50" s="48">
        <f t="shared" si="18"/>
        <v>0</v>
      </c>
      <c r="S50" s="48">
        <f>SQRT('Elektronik- Fonksiyon Hatası '!$D$148*(1-'Elektronik- Fonksiyon Hatası '!$D$148)/P50)</f>
        <v>7.5873161421259619E-2</v>
      </c>
      <c r="T50" s="48">
        <f>(R50-'Elektronik- Fonksiyon Hatası '!$D$148)/S50</f>
        <v>-7.6315045665947726E-2</v>
      </c>
      <c r="U50" s="48">
        <f t="shared" si="25"/>
        <v>1.748660857969405</v>
      </c>
      <c r="V50" s="48">
        <f t="shared" si="26"/>
        <v>0</v>
      </c>
      <c r="W50" s="48">
        <f t="shared" si="19"/>
        <v>5</v>
      </c>
      <c r="X50" s="48">
        <f t="shared" si="20"/>
        <v>-5</v>
      </c>
      <c r="Y50" s="48">
        <f t="shared" si="27"/>
        <v>0.36038106853596508</v>
      </c>
      <c r="Z50" s="48">
        <f>$B$5*SQRT(($B$4/(2-$B$4))*(1-(1-$B$4)^(2*40)))</f>
        <v>0.99999999116576466</v>
      </c>
      <c r="AA50" s="48">
        <f t="shared" si="21"/>
        <v>-0.99999999116576466</v>
      </c>
    </row>
    <row r="51" spans="1:27" x14ac:dyDescent="0.35">
      <c r="A51" s="53">
        <f>'Yazılım SW Hatası'!A42</f>
        <v>46096</v>
      </c>
      <c r="B51" s="48">
        <f>'Yazılım SW Hatası'!B42</f>
        <v>1</v>
      </c>
      <c r="C51" s="48">
        <f>'Yazılım SW Hatası'!C42</f>
        <v>0</v>
      </c>
      <c r="D51" s="48">
        <f t="shared" si="14"/>
        <v>0</v>
      </c>
      <c r="E51" s="48">
        <f>SQRT('Yazılım SW Hatası'!$D$148*(1-'Yazılım SW Hatası'!$D$148)/B51)</f>
        <v>7.0940706718980132E-2</v>
      </c>
      <c r="F51" s="48">
        <f>(D51-'Yazılım SW Hatası'!$D$148)/E51</f>
        <v>-7.1301361049020698E-2</v>
      </c>
      <c r="G51" s="48">
        <f t="shared" si="22"/>
        <v>0</v>
      </c>
      <c r="H51" s="48">
        <f t="shared" si="23"/>
        <v>0</v>
      </c>
      <c r="I51" s="48">
        <f t="shared" si="15"/>
        <v>5</v>
      </c>
      <c r="J51" s="48">
        <f t="shared" si="16"/>
        <v>-5</v>
      </c>
      <c r="K51" s="48">
        <f t="shared" si="24"/>
        <v>-0.12743877363297401</v>
      </c>
      <c r="L51" s="48">
        <f>$B$5*SQRT(($B$4/(2-$B$4))*(1-(1-$B$4)^(2*41)))</f>
        <v>0.99999999434608944</v>
      </c>
      <c r="M51" s="48">
        <f t="shared" si="17"/>
        <v>-0.99999999434608944</v>
      </c>
      <c r="O51" s="53">
        <f>'Elektronik- Fonksiyon Hatası '!A42</f>
        <v>46096</v>
      </c>
      <c r="P51" s="48">
        <f>'Elektronik- Fonksiyon Hatası '!B42</f>
        <v>1</v>
      </c>
      <c r="Q51" s="48">
        <f>'Elektronik- Fonksiyon Hatası '!C42</f>
        <v>0</v>
      </c>
      <c r="R51" s="48">
        <f t="shared" si="18"/>
        <v>0</v>
      </c>
      <c r="S51" s="48">
        <f>SQRT('Elektronik- Fonksiyon Hatası '!$D$148*(1-'Elektronik- Fonksiyon Hatası '!$D$148)/P51)</f>
        <v>7.5873161421259619E-2</v>
      </c>
      <c r="T51" s="48">
        <f>(R51-'Elektronik- Fonksiyon Hatası '!$D$148)/S51</f>
        <v>-7.6315045665947726E-2</v>
      </c>
      <c r="U51" s="48">
        <f t="shared" si="25"/>
        <v>1.1723458123034574</v>
      </c>
      <c r="V51" s="48">
        <f t="shared" si="26"/>
        <v>0</v>
      </c>
      <c r="W51" s="48">
        <f t="shared" si="19"/>
        <v>5</v>
      </c>
      <c r="X51" s="48">
        <f t="shared" si="20"/>
        <v>-5</v>
      </c>
      <c r="Y51" s="48">
        <f t="shared" si="27"/>
        <v>0.27304184569558249</v>
      </c>
      <c r="Z51" s="48">
        <f>$B$5*SQRT(($B$4/(2-$B$4))*(1-(1-$B$4)^(2*41)))</f>
        <v>0.99999999434608944</v>
      </c>
      <c r="AA51" s="48">
        <f t="shared" si="21"/>
        <v>-0.99999999434608944</v>
      </c>
    </row>
    <row r="52" spans="1:27" x14ac:dyDescent="0.35">
      <c r="A52" s="53">
        <f>'Yazılım SW Hatası'!A43</f>
        <v>46097</v>
      </c>
      <c r="B52" s="48">
        <f>'Yazılım SW Hatası'!B43</f>
        <v>33</v>
      </c>
      <c r="C52" s="48">
        <f>'Yazılım SW Hatası'!C43</f>
        <v>0</v>
      </c>
      <c r="D52" s="48">
        <f t="shared" si="14"/>
        <v>0</v>
      </c>
      <c r="E52" s="48">
        <f>SQRT('Yazılım SW Hatası'!$D$148*(1-'Yazılım SW Hatası'!$D$148)/B52)</f>
        <v>1.2349191937480686E-2</v>
      </c>
      <c r="F52" s="48">
        <f>(D52-'Yazılım SW Hatası'!$D$148)/E52</f>
        <v>-0.40959513532952585</v>
      </c>
      <c r="G52" s="48">
        <f t="shared" si="22"/>
        <v>0</v>
      </c>
      <c r="H52" s="48">
        <f t="shared" si="23"/>
        <v>0</v>
      </c>
      <c r="I52" s="48">
        <f t="shared" si="15"/>
        <v>5</v>
      </c>
      <c r="J52" s="48">
        <f t="shared" si="16"/>
        <v>-5</v>
      </c>
      <c r="K52" s="48">
        <f t="shared" si="24"/>
        <v>-0.1838700459722844</v>
      </c>
      <c r="L52" s="48">
        <f>$B$5*SQRT(($B$4/(2-$B$4))*(1-(1-$B$4)^(2*42)))</f>
        <v>0.99999999638149728</v>
      </c>
      <c r="M52" s="48">
        <f t="shared" si="17"/>
        <v>-0.99999999638149728</v>
      </c>
      <c r="O52" s="53">
        <f>'Elektronik- Fonksiyon Hatası '!A43</f>
        <v>46097</v>
      </c>
      <c r="P52" s="48">
        <f>'Elektronik- Fonksiyon Hatası '!B43</f>
        <v>33</v>
      </c>
      <c r="Q52" s="48">
        <f>'Elektronik- Fonksiyon Hatası '!C43</f>
        <v>0</v>
      </c>
      <c r="R52" s="48">
        <f t="shared" si="18"/>
        <v>0</v>
      </c>
      <c r="S52" s="48">
        <f>SQRT('Elektronik- Fonksiyon Hatası '!$D$148*(1-'Elektronik- Fonksiyon Hatası '!$D$148)/P52)</f>
        <v>1.3207822090161159E-2</v>
      </c>
      <c r="T52" s="48">
        <f>(R52-'Elektronik- Fonksiyon Hatası '!$D$148)/S52</f>
        <v>-0.43839656070144717</v>
      </c>
      <c r="U52" s="48">
        <f t="shared" si="25"/>
        <v>0.23394925160201019</v>
      </c>
      <c r="V52" s="48">
        <f t="shared" si="26"/>
        <v>0</v>
      </c>
      <c r="W52" s="48">
        <f t="shared" si="19"/>
        <v>5</v>
      </c>
      <c r="X52" s="48">
        <f t="shared" si="20"/>
        <v>-5</v>
      </c>
      <c r="Y52" s="48">
        <f t="shared" si="27"/>
        <v>0.13075416441617654</v>
      </c>
      <c r="Z52" s="48">
        <f>$B$5*SQRT(($B$4/(2-$B$4))*(1-(1-$B$4)^(2*42)))</f>
        <v>0.99999999638149728</v>
      </c>
      <c r="AA52" s="48">
        <f t="shared" si="21"/>
        <v>-0.99999999638149728</v>
      </c>
    </row>
    <row r="53" spans="1:27" x14ac:dyDescent="0.35">
      <c r="A53" s="53">
        <f>'Yazılım SW Hatası'!A44</f>
        <v>46098</v>
      </c>
      <c r="B53" s="48">
        <f>'Yazılım SW Hatası'!B44</f>
        <v>17</v>
      </c>
      <c r="C53" s="48">
        <f>'Yazılım SW Hatası'!C44</f>
        <v>0</v>
      </c>
      <c r="D53" s="48">
        <f t="shared" si="14"/>
        <v>0</v>
      </c>
      <c r="E53" s="48">
        <f>SQRT('Yazılım SW Hatası'!$D$148*(1-'Yazılım SW Hatası'!$D$148)/B53)</f>
        <v>1.7205648644607031E-2</v>
      </c>
      <c r="F53" s="48">
        <f>(D53-'Yazılım SW Hatası'!$D$148)/E53</f>
        <v>-0.29398304285541321</v>
      </c>
      <c r="G53" s="48">
        <f t="shared" si="22"/>
        <v>0</v>
      </c>
      <c r="H53" s="48">
        <f t="shared" si="23"/>
        <v>0</v>
      </c>
      <c r="I53" s="48">
        <f t="shared" si="15"/>
        <v>5</v>
      </c>
      <c r="J53" s="48">
        <f t="shared" si="16"/>
        <v>-5</v>
      </c>
      <c r="K53" s="48">
        <f t="shared" si="24"/>
        <v>-0.20589264534891019</v>
      </c>
      <c r="L53" s="48">
        <f>$B$5*SQRT(($B$4/(2-$B$4))*(1-(1-$B$4)^(2*43)))</f>
        <v>0.99999999768415826</v>
      </c>
      <c r="M53" s="48">
        <f t="shared" si="17"/>
        <v>-0.99999999768415826</v>
      </c>
      <c r="O53" s="53">
        <f>'Elektronik- Fonksiyon Hatası '!A44</f>
        <v>46098</v>
      </c>
      <c r="P53" s="48">
        <f>'Elektronik- Fonksiyon Hatası '!B44</f>
        <v>17</v>
      </c>
      <c r="Q53" s="48">
        <f>'Elektronik- Fonksiyon Hatası '!C44</f>
        <v>0</v>
      </c>
      <c r="R53" s="48">
        <f t="shared" si="18"/>
        <v>0</v>
      </c>
      <c r="S53" s="48">
        <f>SQRT('Elektronik- Fonksiyon Hatası '!$D$148*(1-'Elektronik- Fonksiyon Hatası '!$D$148)/P53)</f>
        <v>1.8401944628787789E-2</v>
      </c>
      <c r="T53" s="48">
        <f>(R53-'Elektronik- Fonksiyon Hatası '!$D$148)/S53</f>
        <v>-0.31465499410453768</v>
      </c>
      <c r="U53" s="48">
        <f t="shared" si="25"/>
        <v>0</v>
      </c>
      <c r="V53" s="48">
        <f t="shared" si="26"/>
        <v>0</v>
      </c>
      <c r="W53" s="48">
        <f t="shared" si="19"/>
        <v>5</v>
      </c>
      <c r="X53" s="48">
        <f t="shared" si="20"/>
        <v>-5</v>
      </c>
      <c r="Y53" s="48">
        <f t="shared" si="27"/>
        <v>4.1672332712033702E-2</v>
      </c>
      <c r="Z53" s="48">
        <f>$B$5*SQRT(($B$4/(2-$B$4))*(1-(1-$B$4)^(2*43)))</f>
        <v>0.99999999768415826</v>
      </c>
      <c r="AA53" s="48">
        <f t="shared" si="21"/>
        <v>-0.99999999768415826</v>
      </c>
    </row>
    <row r="54" spans="1:27" x14ac:dyDescent="0.35">
      <c r="A54" s="53">
        <f>'Yazılım SW Hatası'!A45</f>
        <v>46099</v>
      </c>
      <c r="B54" s="48">
        <f>'Yazılım SW Hatası'!B45</f>
        <v>30</v>
      </c>
      <c r="C54" s="48">
        <f>'Yazılım SW Hatası'!C45</f>
        <v>0</v>
      </c>
      <c r="D54" s="48">
        <f t="shared" si="14"/>
        <v>0</v>
      </c>
      <c r="E54" s="48">
        <f>SQRT('Yazılım SW Hatası'!$D$148*(1-'Yazılım SW Hatası'!$D$148)/B54)</f>
        <v>1.2951941771781239E-2</v>
      </c>
      <c r="F54" s="48">
        <f>(D54-'Yazılım SW Hatası'!$D$148)/E54</f>
        <v>-0.39053363827368853</v>
      </c>
      <c r="G54" s="48">
        <f t="shared" si="22"/>
        <v>0</v>
      </c>
      <c r="H54" s="48">
        <f t="shared" si="23"/>
        <v>0</v>
      </c>
      <c r="I54" s="48">
        <f t="shared" si="15"/>
        <v>5</v>
      </c>
      <c r="J54" s="48">
        <f t="shared" si="16"/>
        <v>-5</v>
      </c>
      <c r="K54" s="48">
        <f t="shared" si="24"/>
        <v>-0.24282084393386588</v>
      </c>
      <c r="L54" s="48">
        <f>$B$5*SQRT(($B$4/(2-$B$4))*(1-(1-$B$4)^(2*44)))</f>
        <v>0.99999999851786137</v>
      </c>
      <c r="M54" s="48">
        <f t="shared" si="17"/>
        <v>-0.99999999851786137</v>
      </c>
      <c r="O54" s="53">
        <f>'Elektronik- Fonksiyon Hatası '!A45</f>
        <v>46099</v>
      </c>
      <c r="P54" s="48">
        <f>'Elektronik- Fonksiyon Hatası '!B45</f>
        <v>30</v>
      </c>
      <c r="Q54" s="48">
        <f>'Elektronik- Fonksiyon Hatası '!C45</f>
        <v>0</v>
      </c>
      <c r="R54" s="48">
        <f t="shared" si="18"/>
        <v>0</v>
      </c>
      <c r="S54" s="48">
        <f>SQRT('Elektronik- Fonksiyon Hatası '!$D$148*(1-'Elektronik- Fonksiyon Hatası '!$D$148)/P54)</f>
        <v>1.3852480673218209E-2</v>
      </c>
      <c r="T54" s="48">
        <f>(R54-'Elektronik- Fonksiyon Hatası '!$D$148)/S54</f>
        <v>-0.41799471988276427</v>
      </c>
      <c r="U54" s="48">
        <f t="shared" si="25"/>
        <v>0</v>
      </c>
      <c r="V54" s="48">
        <f t="shared" si="26"/>
        <v>0</v>
      </c>
      <c r="W54" s="48">
        <f t="shared" si="19"/>
        <v>5</v>
      </c>
      <c r="X54" s="48">
        <f t="shared" si="20"/>
        <v>-5</v>
      </c>
      <c r="Y54" s="48">
        <f t="shared" si="27"/>
        <v>-5.0261077806925895E-2</v>
      </c>
      <c r="Z54" s="48">
        <f>$B$5*SQRT(($B$4/(2-$B$4))*(1-(1-$B$4)^(2*44)))</f>
        <v>0.99999999851786137</v>
      </c>
      <c r="AA54" s="48">
        <f t="shared" si="21"/>
        <v>-0.99999999851786137</v>
      </c>
    </row>
    <row r="55" spans="1:27" x14ac:dyDescent="0.35">
      <c r="A55" s="53">
        <f>'Yazılım SW Hatası'!A46</f>
        <v>46101</v>
      </c>
      <c r="B55" s="48">
        <f>'Yazılım SW Hatası'!B46</f>
        <v>1</v>
      </c>
      <c r="C55" s="48">
        <f>'Yazılım SW Hatası'!C46</f>
        <v>0</v>
      </c>
      <c r="D55" s="48">
        <f t="shared" si="14"/>
        <v>0</v>
      </c>
      <c r="E55" s="48">
        <f>SQRT('Yazılım SW Hatası'!$D$148*(1-'Yazılım SW Hatası'!$D$148)/B55)</f>
        <v>7.0940706718980132E-2</v>
      </c>
      <c r="F55" s="48">
        <f>(D55-'Yazılım SW Hatası'!$D$148)/E55</f>
        <v>-7.1301361049020698E-2</v>
      </c>
      <c r="G55" s="48">
        <f t="shared" si="22"/>
        <v>0</v>
      </c>
      <c r="H55" s="48">
        <f t="shared" si="23"/>
        <v>0</v>
      </c>
      <c r="I55" s="48">
        <f t="shared" si="15"/>
        <v>5</v>
      </c>
      <c r="J55" s="48">
        <f t="shared" si="16"/>
        <v>-5</v>
      </c>
      <c r="K55" s="48">
        <f t="shared" si="24"/>
        <v>-0.20851694735689685</v>
      </c>
      <c r="L55" s="48">
        <f>$B$5*SQRT(($B$4/(2-$B$4))*(1-(1-$B$4)^(2*45)))</f>
        <v>0.99999999905143122</v>
      </c>
      <c r="M55" s="48">
        <f t="shared" si="17"/>
        <v>-0.99999999905143122</v>
      </c>
      <c r="O55" s="53">
        <f>'Elektronik- Fonksiyon Hatası '!A46</f>
        <v>46101</v>
      </c>
      <c r="P55" s="48">
        <f>'Elektronik- Fonksiyon Hatası '!B46</f>
        <v>1</v>
      </c>
      <c r="Q55" s="48">
        <f>'Elektronik- Fonksiyon Hatası '!C46</f>
        <v>0</v>
      </c>
      <c r="R55" s="48">
        <f t="shared" si="18"/>
        <v>0</v>
      </c>
      <c r="S55" s="48">
        <f>SQRT('Elektronik- Fonksiyon Hatası '!$D$148*(1-'Elektronik- Fonksiyon Hatası '!$D$148)/P55)</f>
        <v>7.5873161421259619E-2</v>
      </c>
      <c r="T55" s="48">
        <f>(R55-'Elektronik- Fonksiyon Hatası '!$D$148)/S55</f>
        <v>-7.6315045665947726E-2</v>
      </c>
      <c r="U55" s="48">
        <f t="shared" si="25"/>
        <v>0</v>
      </c>
      <c r="V55" s="48">
        <f t="shared" si="26"/>
        <v>0</v>
      </c>
      <c r="W55" s="48">
        <f t="shared" si="19"/>
        <v>5</v>
      </c>
      <c r="X55" s="48">
        <f t="shared" si="20"/>
        <v>-5</v>
      </c>
      <c r="Y55" s="48">
        <f t="shared" si="27"/>
        <v>-5.5471871378730261E-2</v>
      </c>
      <c r="Z55" s="48">
        <f>$B$5*SQRT(($B$4/(2-$B$4))*(1-(1-$B$4)^(2*45)))</f>
        <v>0.99999999905143122</v>
      </c>
      <c r="AA55" s="48">
        <f t="shared" si="21"/>
        <v>-0.99999999905143122</v>
      </c>
    </row>
    <row r="56" spans="1:27" x14ac:dyDescent="0.35">
      <c r="A56" s="53">
        <f>'Yazılım SW Hatası'!A47</f>
        <v>46105</v>
      </c>
      <c r="B56" s="48">
        <f>'Yazılım SW Hatası'!B47</f>
        <v>100</v>
      </c>
      <c r="C56" s="48">
        <f>'Yazılım SW Hatası'!C47</f>
        <v>1</v>
      </c>
      <c r="D56" s="48">
        <f t="shared" si="14"/>
        <v>0.01</v>
      </c>
      <c r="E56" s="48">
        <f>SQRT('Yazılım SW Hatası'!$D$148*(1-'Yazılım SW Hatası'!$D$148)/B56)</f>
        <v>7.094070671898013E-3</v>
      </c>
      <c r="F56" s="48">
        <f>(D56-'Yazılım SW Hatası'!$D$148)/E56</f>
        <v>0.69661429744893222</v>
      </c>
      <c r="G56" s="48">
        <f t="shared" si="22"/>
        <v>0.19661429744893222</v>
      </c>
      <c r="H56" s="48">
        <f t="shared" si="23"/>
        <v>0</v>
      </c>
      <c r="I56" s="48">
        <f t="shared" si="15"/>
        <v>5</v>
      </c>
      <c r="J56" s="48">
        <f t="shared" si="16"/>
        <v>-5</v>
      </c>
      <c r="K56" s="48">
        <f t="shared" si="24"/>
        <v>-2.7490698395731039E-2</v>
      </c>
      <c r="L56" s="48">
        <f>$B$5*SQRT(($B$4/(2-$B$4))*(1-(1-$B$4)^(2*46)))</f>
        <v>0.99999999939291584</v>
      </c>
      <c r="M56" s="48">
        <f t="shared" si="17"/>
        <v>-0.99999999939291584</v>
      </c>
      <c r="O56" s="53">
        <f>'Elektronik- Fonksiyon Hatası '!A47</f>
        <v>46105</v>
      </c>
      <c r="P56" s="48">
        <f>'Elektronik- Fonksiyon Hatası '!B47</f>
        <v>500</v>
      </c>
      <c r="Q56" s="48">
        <f>'Elektronik- Fonksiyon Hatası '!C47</f>
        <v>7</v>
      </c>
      <c r="R56" s="48">
        <f t="shared" si="18"/>
        <v>1.4E-2</v>
      </c>
      <c r="S56" s="48">
        <f>SQRT('Elektronik- Fonksiyon Hatası '!$D$148*(1-'Elektronik- Fonksiyon Hatası '!$D$148)/P56)</f>
        <v>3.3931509321150216E-3</v>
      </c>
      <c r="T56" s="48">
        <f>(R56-'Elektronik- Fonksiyon Hatası '!$D$148)/S56</f>
        <v>2.4195022224370812</v>
      </c>
      <c r="U56" s="48">
        <f t="shared" si="25"/>
        <v>1.9195022224370812</v>
      </c>
      <c r="V56" s="48">
        <f t="shared" si="26"/>
        <v>0</v>
      </c>
      <c r="W56" s="48">
        <f t="shared" si="19"/>
        <v>5</v>
      </c>
      <c r="X56" s="48">
        <f t="shared" si="20"/>
        <v>-5</v>
      </c>
      <c r="Y56" s="48">
        <f t="shared" si="27"/>
        <v>0.43952294738443204</v>
      </c>
      <c r="Z56" s="48">
        <f>$B$5*SQRT(($B$4/(2-$B$4))*(1-(1-$B$4)^(2*46)))</f>
        <v>0.99999999939291584</v>
      </c>
      <c r="AA56" s="48">
        <f t="shared" si="21"/>
        <v>-0.99999999939291584</v>
      </c>
    </row>
    <row r="57" spans="1:27" x14ac:dyDescent="0.35">
      <c r="A57" s="53">
        <f>'Yazılım SW Hatası'!A48</f>
        <v>46106</v>
      </c>
      <c r="B57" s="48">
        <f>'Yazılım SW Hatası'!B48</f>
        <v>55</v>
      </c>
      <c r="C57" s="48">
        <f>'Yazılım SW Hatası'!C48</f>
        <v>0</v>
      </c>
      <c r="D57" s="48">
        <f t="shared" si="14"/>
        <v>0</v>
      </c>
      <c r="E57" s="48">
        <f>SQRT('Yazılım SW Hatası'!$D$148*(1-'Yazılım SW Hatası'!$D$148)/B57)</f>
        <v>9.5656429425963196E-3</v>
      </c>
      <c r="F57" s="48">
        <f>(D57-'Yazılım SW Hatası'!$D$148)/E57</f>
        <v>-0.52878504593960896</v>
      </c>
      <c r="G57" s="48">
        <f t="shared" si="22"/>
        <v>0</v>
      </c>
      <c r="H57" s="48">
        <f t="shared" si="23"/>
        <v>2.8785045939608955E-2</v>
      </c>
      <c r="I57" s="48">
        <f t="shared" si="15"/>
        <v>5</v>
      </c>
      <c r="J57" s="48">
        <f t="shared" si="16"/>
        <v>-5</v>
      </c>
      <c r="K57" s="48">
        <f t="shared" si="24"/>
        <v>-0.12774956790450664</v>
      </c>
      <c r="L57" s="48">
        <f>$B$5*SQRT(($B$4/(2-$B$4))*(1-(1-$B$4)^(2*47)))</f>
        <v>0.99999999961146624</v>
      </c>
      <c r="M57" s="48">
        <f t="shared" si="17"/>
        <v>-0.99999999961146624</v>
      </c>
      <c r="O57" s="53">
        <f>'Elektronik- Fonksiyon Hatası '!A48</f>
        <v>46106</v>
      </c>
      <c r="P57" s="48">
        <f>'Elektronik- Fonksiyon Hatası '!B48</f>
        <v>55</v>
      </c>
      <c r="Q57" s="48">
        <f>'Elektronik- Fonksiyon Hatası '!C48</f>
        <v>0</v>
      </c>
      <c r="R57" s="48">
        <f t="shared" si="18"/>
        <v>0</v>
      </c>
      <c r="S57" s="48">
        <f>SQRT('Elektronik- Fonksiyon Hatası '!$D$148*(1-'Elektronik- Fonksiyon Hatası '!$D$148)/P57)</f>
        <v>1.023073499897292E-2</v>
      </c>
      <c r="T57" s="48">
        <f>(R57-'Elektronik- Fonksiyon Hatası '!$D$148)/S57</f>
        <v>-0.565967526210438</v>
      </c>
      <c r="U57" s="48">
        <f t="shared" si="25"/>
        <v>0.85353469622664324</v>
      </c>
      <c r="V57" s="48">
        <f t="shared" si="26"/>
        <v>6.5967526210437999E-2</v>
      </c>
      <c r="W57" s="48">
        <f t="shared" si="19"/>
        <v>5</v>
      </c>
      <c r="X57" s="48">
        <f t="shared" si="20"/>
        <v>-5</v>
      </c>
      <c r="Y57" s="48">
        <f t="shared" si="27"/>
        <v>0.23842485266545804</v>
      </c>
      <c r="Z57" s="48">
        <f>$B$5*SQRT(($B$4/(2-$B$4))*(1-(1-$B$4)^(2*47)))</f>
        <v>0.99999999961146624</v>
      </c>
      <c r="AA57" s="48">
        <f t="shared" si="21"/>
        <v>-0.99999999961146624</v>
      </c>
    </row>
    <row r="58" spans="1:27" x14ac:dyDescent="0.35">
      <c r="A58" s="53">
        <f>'Yazılım SW Hatası'!A49</f>
        <v>46107</v>
      </c>
      <c r="B58" s="48">
        <f>'Yazılım SW Hatası'!B49</f>
        <v>1</v>
      </c>
      <c r="C58" s="48">
        <f>'Yazılım SW Hatası'!C49</f>
        <v>0</v>
      </c>
      <c r="D58" s="48">
        <f t="shared" si="14"/>
        <v>0</v>
      </c>
      <c r="E58" s="48">
        <f>SQRT('Yazılım SW Hatası'!$D$148*(1-'Yazılım SW Hatası'!$D$148)/B58)</f>
        <v>7.0940706718980132E-2</v>
      </c>
      <c r="F58" s="48">
        <f>(D58-'Yazılım SW Hatası'!$D$148)/E58</f>
        <v>-7.1301361049020698E-2</v>
      </c>
      <c r="G58" s="48">
        <f t="shared" si="22"/>
        <v>0</v>
      </c>
      <c r="H58" s="48">
        <f t="shared" si="23"/>
        <v>0</v>
      </c>
      <c r="I58" s="48">
        <f t="shared" si="15"/>
        <v>5</v>
      </c>
      <c r="J58" s="48">
        <f t="shared" si="16"/>
        <v>-5</v>
      </c>
      <c r="K58" s="48">
        <f t="shared" si="24"/>
        <v>-0.11645992653340946</v>
      </c>
      <c r="L58" s="48">
        <f>$B$5*SQRT(($B$4/(2-$B$4))*(1-(1-$B$4)^(2*48)))</f>
        <v>0.99999999975133846</v>
      </c>
      <c r="M58" s="48">
        <f t="shared" si="17"/>
        <v>-0.99999999975133846</v>
      </c>
      <c r="O58" s="53">
        <f>'Elektronik- Fonksiyon Hatası '!A49</f>
        <v>46107</v>
      </c>
      <c r="P58" s="48">
        <f>'Elektronik- Fonksiyon Hatası '!B49</f>
        <v>1</v>
      </c>
      <c r="Q58" s="48">
        <f>'Elektronik- Fonksiyon Hatası '!C49</f>
        <v>0</v>
      </c>
      <c r="R58" s="48">
        <f t="shared" si="18"/>
        <v>0</v>
      </c>
      <c r="S58" s="48">
        <f>SQRT('Elektronik- Fonksiyon Hatası '!$D$148*(1-'Elektronik- Fonksiyon Hatası '!$D$148)/P58)</f>
        <v>7.5873161421259619E-2</v>
      </c>
      <c r="T58" s="48">
        <f>(R58-'Elektronik- Fonksiyon Hatası '!$D$148)/S58</f>
        <v>-7.6315045665947726E-2</v>
      </c>
      <c r="U58" s="48">
        <f t="shared" si="25"/>
        <v>0.27721965056069553</v>
      </c>
      <c r="V58" s="48">
        <f t="shared" si="26"/>
        <v>0</v>
      </c>
      <c r="W58" s="48">
        <f t="shared" si="19"/>
        <v>5</v>
      </c>
      <c r="X58" s="48">
        <f t="shared" si="20"/>
        <v>-5</v>
      </c>
      <c r="Y58" s="48">
        <f t="shared" si="27"/>
        <v>0.17547687299917691</v>
      </c>
      <c r="Z58" s="48">
        <f>$B$5*SQRT(($B$4/(2-$B$4))*(1-(1-$B$4)^(2*48)))</f>
        <v>0.99999999975133846</v>
      </c>
      <c r="AA58" s="48">
        <f t="shared" si="21"/>
        <v>-0.99999999975133846</v>
      </c>
    </row>
    <row r="59" spans="1:27" x14ac:dyDescent="0.35">
      <c r="A59" s="53">
        <f>'Yazılım SW Hatası'!A50</f>
        <v>46108</v>
      </c>
      <c r="B59" s="48">
        <f>'Yazılım SW Hatası'!B50</f>
        <v>23</v>
      </c>
      <c r="C59" s="48">
        <f>'Yazılım SW Hatası'!C50</f>
        <v>0</v>
      </c>
      <c r="D59" s="48">
        <f t="shared" si="14"/>
        <v>0</v>
      </c>
      <c r="E59" s="48">
        <f>SQRT('Yazılım SW Hatası'!$D$148*(1-'Yazılım SW Hatası'!$D$148)/B59)</f>
        <v>1.4792159894302929E-2</v>
      </c>
      <c r="F59" s="48">
        <f>(D59-'Yazılım SW Hatası'!$D$148)/E59</f>
        <v>-0.34194931497399517</v>
      </c>
      <c r="G59" s="48">
        <f t="shared" si="22"/>
        <v>0</v>
      </c>
      <c r="H59" s="48">
        <f t="shared" si="23"/>
        <v>0</v>
      </c>
      <c r="I59" s="48">
        <f t="shared" si="15"/>
        <v>5</v>
      </c>
      <c r="J59" s="48">
        <f t="shared" si="16"/>
        <v>-5</v>
      </c>
      <c r="K59" s="48">
        <f t="shared" si="24"/>
        <v>-0.1615578042215266</v>
      </c>
      <c r="L59" s="48">
        <f>$B$5*SQRT(($B$4/(2-$B$4))*(1-(1-$B$4)^(2*49)))</f>
        <v>0.99999999984085663</v>
      </c>
      <c r="M59" s="48">
        <f t="shared" si="17"/>
        <v>-0.99999999984085663</v>
      </c>
      <c r="O59" s="53">
        <f>'Elektronik- Fonksiyon Hatası '!A50</f>
        <v>46108</v>
      </c>
      <c r="P59" s="48">
        <f>'Elektronik- Fonksiyon Hatası '!B50</f>
        <v>23</v>
      </c>
      <c r="Q59" s="48">
        <f>'Elektronik- Fonksiyon Hatası '!C50</f>
        <v>0</v>
      </c>
      <c r="R59" s="48">
        <f t="shared" si="18"/>
        <v>0</v>
      </c>
      <c r="S59" s="48">
        <f>SQRT('Elektronik- Fonksiyon Hatası '!$D$148*(1-'Elektronik- Fonksiyon Hatası '!$D$148)/P59)</f>
        <v>1.5820647796411801E-2</v>
      </c>
      <c r="T59" s="48">
        <f>(R59-'Elektronik- Fonksiyon Hatası '!$D$148)/S59</f>
        <v>-0.36599410170780178</v>
      </c>
      <c r="U59" s="48">
        <f t="shared" si="25"/>
        <v>0</v>
      </c>
      <c r="V59" s="48">
        <f t="shared" si="26"/>
        <v>0</v>
      </c>
      <c r="W59" s="48">
        <f t="shared" si="19"/>
        <v>5</v>
      </c>
      <c r="X59" s="48">
        <f t="shared" si="20"/>
        <v>-5</v>
      </c>
      <c r="Y59" s="48">
        <f t="shared" si="27"/>
        <v>6.7182678057781164E-2</v>
      </c>
      <c r="Z59" s="48">
        <f>$B$5*SQRT(($B$4/(2-$B$4))*(1-(1-$B$4)^(2*49)))</f>
        <v>0.99999999984085663</v>
      </c>
      <c r="AA59" s="48">
        <f t="shared" si="21"/>
        <v>-0.99999999984085663</v>
      </c>
    </row>
    <row r="60" spans="1:27" x14ac:dyDescent="0.35">
      <c r="A60" s="53">
        <f>'Yazılım SW Hatası'!A51</f>
        <v>46111</v>
      </c>
      <c r="B60" s="48">
        <f>'Yazılım SW Hatası'!B51</f>
        <v>2</v>
      </c>
      <c r="C60" s="48">
        <f>'Yazılım SW Hatası'!C51</f>
        <v>0</v>
      </c>
      <c r="D60" s="48">
        <f t="shared" si="14"/>
        <v>0</v>
      </c>
      <c r="E60" s="48">
        <f>SQRT('Yazılım SW Hatası'!$D$148*(1-'Yazılım SW Hatası'!$D$148)/B60)</f>
        <v>5.0162654783156922E-2</v>
      </c>
      <c r="F60" s="48">
        <f>(D60-'Yazılım SW Hatası'!$D$148)/E60</f>
        <v>-0.10083535181118582</v>
      </c>
      <c r="G60" s="48">
        <f t="shared" si="22"/>
        <v>0</v>
      </c>
      <c r="H60" s="48">
        <f t="shared" si="23"/>
        <v>0</v>
      </c>
      <c r="I60" s="48">
        <f t="shared" si="15"/>
        <v>5</v>
      </c>
      <c r="J60" s="48">
        <f t="shared" si="16"/>
        <v>-5</v>
      </c>
      <c r="K60" s="48">
        <f t="shared" si="24"/>
        <v>-0.14941331373945846</v>
      </c>
      <c r="L60" s="48">
        <f>$B$5*SQRT(($B$4/(2-$B$4))*(1-(1-$B$4)^(2*50)))</f>
        <v>0.99999999989814825</v>
      </c>
      <c r="M60" s="48">
        <f t="shared" si="17"/>
        <v>-0.99999999989814825</v>
      </c>
      <c r="O60" s="53">
        <f>'Elektronik- Fonksiyon Hatası '!A51</f>
        <v>46111</v>
      </c>
      <c r="P60" s="48">
        <f>'Elektronik- Fonksiyon Hatası '!B51</f>
        <v>2</v>
      </c>
      <c r="Q60" s="48">
        <f>'Elektronik- Fonksiyon Hatası '!C51</f>
        <v>0</v>
      </c>
      <c r="R60" s="48">
        <f t="shared" si="18"/>
        <v>0</v>
      </c>
      <c r="S60" s="48">
        <f>SQRT('Elektronik- Fonksiyon Hatası '!$D$148*(1-'Elektronik- Fonksiyon Hatası '!$D$148)/P60)</f>
        <v>5.3650426951034225E-2</v>
      </c>
      <c r="T60" s="48">
        <f>(R60-'Elektronik- Fonksiyon Hatası '!$D$148)/S60</f>
        <v>-0.10792577259390536</v>
      </c>
      <c r="U60" s="48">
        <f t="shared" si="25"/>
        <v>0</v>
      </c>
      <c r="V60" s="48">
        <f t="shared" si="26"/>
        <v>0</v>
      </c>
      <c r="W60" s="48">
        <f t="shared" si="19"/>
        <v>5</v>
      </c>
      <c r="X60" s="48">
        <f t="shared" si="20"/>
        <v>-5</v>
      </c>
      <c r="Y60" s="48">
        <f t="shared" si="27"/>
        <v>3.216098792744386E-2</v>
      </c>
      <c r="Z60" s="48">
        <f>$B$5*SQRT(($B$4/(2-$B$4))*(1-(1-$B$4)^(2*50)))</f>
        <v>0.99999999989814825</v>
      </c>
      <c r="AA60" s="48">
        <f t="shared" si="21"/>
        <v>-0.99999999989814825</v>
      </c>
    </row>
    <row r="61" spans="1:27" x14ac:dyDescent="0.35">
      <c r="A61" s="53">
        <f>'Yazılım SW Hatası'!A52</f>
        <v>46112</v>
      </c>
      <c r="B61" s="48">
        <f>'Yazılım SW Hatası'!B52</f>
        <v>400</v>
      </c>
      <c r="C61" s="48">
        <f>'Yazılım SW Hatası'!C52</f>
        <v>3</v>
      </c>
      <c r="D61" s="48">
        <f t="shared" si="14"/>
        <v>7.4999999999999997E-3</v>
      </c>
      <c r="E61" s="48">
        <f>SQRT('Yazılım SW Hatası'!$D$148*(1-'Yazılım SW Hatası'!$D$148)/B61)</f>
        <v>3.5470353359490065E-3</v>
      </c>
      <c r="F61" s="48">
        <f>(D61-'Yazılım SW Hatası'!$D$148)/E61</f>
        <v>0.68841464092829474</v>
      </c>
      <c r="G61" s="48">
        <f t="shared" si="22"/>
        <v>0.18841464092829474</v>
      </c>
      <c r="H61" s="48">
        <f t="shared" si="23"/>
        <v>0</v>
      </c>
      <c r="I61" s="48">
        <f t="shared" si="15"/>
        <v>5</v>
      </c>
      <c r="J61" s="48">
        <f t="shared" si="16"/>
        <v>-5</v>
      </c>
      <c r="K61" s="48">
        <f t="shared" si="24"/>
        <v>1.8152277194092167E-2</v>
      </c>
      <c r="L61" s="48">
        <f>$B$5*SQRT(($B$4/(2-$B$4))*(1-(1-$B$4)^(2*51)))</f>
        <v>0.99999999993481492</v>
      </c>
      <c r="M61" s="48">
        <f t="shared" si="17"/>
        <v>-0.99999999993481492</v>
      </c>
      <c r="O61" s="53">
        <f>'Elektronik- Fonksiyon Hatası '!A52</f>
        <v>46112</v>
      </c>
      <c r="P61" s="48">
        <f>'Elektronik- Fonksiyon Hatası '!B52</f>
        <v>1</v>
      </c>
      <c r="Q61" s="48">
        <f>'Elektronik- Fonksiyon Hatası '!C52</f>
        <v>0</v>
      </c>
      <c r="R61" s="48">
        <f t="shared" si="18"/>
        <v>0</v>
      </c>
      <c r="S61" s="48">
        <f>SQRT('Elektronik- Fonksiyon Hatası '!$D$148*(1-'Elektronik- Fonksiyon Hatası '!$D$148)/P61)</f>
        <v>7.5873161421259619E-2</v>
      </c>
      <c r="T61" s="48">
        <f>(R61-'Elektronik- Fonksiyon Hatası '!$D$148)/S61</f>
        <v>-7.6315045665947726E-2</v>
      </c>
      <c r="U61" s="48">
        <f t="shared" si="25"/>
        <v>0</v>
      </c>
      <c r="V61" s="48">
        <f t="shared" si="26"/>
        <v>0</v>
      </c>
      <c r="W61" s="48">
        <f t="shared" si="19"/>
        <v>5</v>
      </c>
      <c r="X61" s="48">
        <f t="shared" si="20"/>
        <v>-5</v>
      </c>
      <c r="Y61" s="48">
        <f t="shared" si="27"/>
        <v>1.0465781208765545E-2</v>
      </c>
      <c r="Z61" s="48">
        <f>$B$5*SQRT(($B$4/(2-$B$4))*(1-(1-$B$4)^(2*51)))</f>
        <v>0.99999999993481492</v>
      </c>
      <c r="AA61" s="48">
        <f t="shared" si="21"/>
        <v>-0.99999999993481492</v>
      </c>
    </row>
    <row r="62" spans="1:27" x14ac:dyDescent="0.35">
      <c r="A62" s="53">
        <f>'Yazılım SW Hatası'!A53</f>
        <v>46113</v>
      </c>
      <c r="B62" s="48">
        <f>'Yazılım SW Hatası'!B53</f>
        <v>2</v>
      </c>
      <c r="C62" s="48">
        <f>'Yazılım SW Hatası'!C53</f>
        <v>0</v>
      </c>
      <c r="D62" s="48">
        <f t="shared" si="14"/>
        <v>0</v>
      </c>
      <c r="E62" s="48">
        <f>SQRT('Yazılım SW Hatası'!$D$148*(1-'Yazılım SW Hatası'!$D$148)/B62)</f>
        <v>5.0162654783156922E-2</v>
      </c>
      <c r="F62" s="48">
        <f>(D62-'Yazılım SW Hatası'!$D$148)/E62</f>
        <v>-0.10083535181118582</v>
      </c>
      <c r="G62" s="48">
        <f t="shared" si="22"/>
        <v>0</v>
      </c>
      <c r="H62" s="48">
        <f t="shared" si="23"/>
        <v>0</v>
      </c>
      <c r="I62" s="48">
        <f t="shared" si="15"/>
        <v>5</v>
      </c>
      <c r="J62" s="48">
        <f t="shared" si="16"/>
        <v>-5</v>
      </c>
      <c r="K62" s="48">
        <f t="shared" si="24"/>
        <v>-5.6452486069634312E-3</v>
      </c>
      <c r="L62" s="48">
        <f>$B$5*SQRT(($B$4/(2-$B$4))*(1-(1-$B$4)^(2*52)))</f>
        <v>0.99999999995828148</v>
      </c>
      <c r="M62" s="48">
        <f t="shared" si="17"/>
        <v>-0.99999999995828148</v>
      </c>
      <c r="O62" s="53">
        <f>'Elektronik- Fonksiyon Hatası '!A53</f>
        <v>46113</v>
      </c>
      <c r="P62" s="48">
        <f>'Elektronik- Fonksiyon Hatası '!B53</f>
        <v>2</v>
      </c>
      <c r="Q62" s="48">
        <f>'Elektronik- Fonksiyon Hatası '!C53</f>
        <v>0</v>
      </c>
      <c r="R62" s="48">
        <f t="shared" si="18"/>
        <v>0</v>
      </c>
      <c r="S62" s="48">
        <f>SQRT('Elektronik- Fonksiyon Hatası '!$D$148*(1-'Elektronik- Fonksiyon Hatası '!$D$148)/P62)</f>
        <v>5.3650426951034225E-2</v>
      </c>
      <c r="T62" s="48">
        <f>(R62-'Elektronik- Fonksiyon Hatası '!$D$148)/S62</f>
        <v>-0.10792577259390536</v>
      </c>
      <c r="U62" s="48">
        <f t="shared" si="25"/>
        <v>0</v>
      </c>
      <c r="V62" s="48">
        <f t="shared" si="26"/>
        <v>0</v>
      </c>
      <c r="W62" s="48">
        <f t="shared" si="19"/>
        <v>5</v>
      </c>
      <c r="X62" s="48">
        <f t="shared" si="20"/>
        <v>-5</v>
      </c>
      <c r="Y62" s="48">
        <f t="shared" si="27"/>
        <v>-1.3212529551768637E-2</v>
      </c>
      <c r="Z62" s="48">
        <f>$B$5*SQRT(($B$4/(2-$B$4))*(1-(1-$B$4)^(2*52)))</f>
        <v>0.99999999995828148</v>
      </c>
      <c r="AA62" s="48">
        <f t="shared" si="21"/>
        <v>-0.99999999995828148</v>
      </c>
    </row>
    <row r="63" spans="1:27" x14ac:dyDescent="0.35">
      <c r="A63" s="53">
        <f>'Yazılım SW Hatası'!A54</f>
        <v>46115</v>
      </c>
      <c r="B63" s="48">
        <f>'Yazılım SW Hatası'!B54</f>
        <v>8</v>
      </c>
      <c r="C63" s="48">
        <f>'Yazılım SW Hatası'!C54</f>
        <v>0</v>
      </c>
      <c r="D63" s="48">
        <f t="shared" si="14"/>
        <v>0</v>
      </c>
      <c r="E63" s="48">
        <f>SQRT('Yazılım SW Hatası'!$D$148*(1-'Yazılım SW Hatası'!$D$148)/B63)</f>
        <v>2.5081327391578461E-2</v>
      </c>
      <c r="F63" s="48">
        <f>(D63-'Yazılım SW Hatası'!$D$148)/E63</f>
        <v>-0.20167070362237163</v>
      </c>
      <c r="G63" s="48">
        <f t="shared" si="22"/>
        <v>0</v>
      </c>
      <c r="H63" s="48">
        <f t="shared" si="23"/>
        <v>0</v>
      </c>
      <c r="I63" s="48">
        <f t="shared" si="15"/>
        <v>5</v>
      </c>
      <c r="J63" s="48">
        <f t="shared" si="16"/>
        <v>-5</v>
      </c>
      <c r="K63" s="48">
        <f t="shared" si="24"/>
        <v>-4.485033961004508E-2</v>
      </c>
      <c r="L63" s="48">
        <f>$B$5*SQRT(($B$4/(2-$B$4))*(1-(1-$B$4)^(2*53)))</f>
        <v>0.99999999997330014</v>
      </c>
      <c r="M63" s="48">
        <f t="shared" si="17"/>
        <v>-0.99999999997330014</v>
      </c>
      <c r="O63" s="53">
        <f>'Elektronik- Fonksiyon Hatası '!A54</f>
        <v>46115</v>
      </c>
      <c r="P63" s="48">
        <f>'Elektronik- Fonksiyon Hatası '!B54</f>
        <v>8</v>
      </c>
      <c r="Q63" s="48">
        <f>'Elektronik- Fonksiyon Hatası '!C54</f>
        <v>0</v>
      </c>
      <c r="R63" s="48">
        <f t="shared" si="18"/>
        <v>0</v>
      </c>
      <c r="S63" s="48">
        <f>SQRT('Elektronik- Fonksiyon Hatası '!$D$148*(1-'Elektronik- Fonksiyon Hatası '!$D$148)/P63)</f>
        <v>2.6825213475517112E-2</v>
      </c>
      <c r="T63" s="48">
        <f>(R63-'Elektronik- Fonksiyon Hatası '!$D$148)/S63</f>
        <v>-0.21585154518781072</v>
      </c>
      <c r="U63" s="48">
        <f t="shared" si="25"/>
        <v>0</v>
      </c>
      <c r="V63" s="48">
        <f t="shared" si="26"/>
        <v>0</v>
      </c>
      <c r="W63" s="48">
        <f t="shared" si="19"/>
        <v>5</v>
      </c>
      <c r="X63" s="48">
        <f t="shared" si="20"/>
        <v>-5</v>
      </c>
      <c r="Y63" s="48">
        <f t="shared" si="27"/>
        <v>-5.3740332678977057E-2</v>
      </c>
      <c r="Z63" s="48">
        <f>$B$5*SQRT(($B$4/(2-$B$4))*(1-(1-$B$4)^(2*53)))</f>
        <v>0.99999999997330014</v>
      </c>
      <c r="AA63" s="48">
        <f t="shared" si="21"/>
        <v>-0.99999999997330014</v>
      </c>
    </row>
    <row r="64" spans="1:27" x14ac:dyDescent="0.35">
      <c r="A64" s="53">
        <f>'Yazılım SW Hatası'!A55</f>
        <v>46118</v>
      </c>
      <c r="B64" s="48">
        <f>'Yazılım SW Hatası'!B55</f>
        <v>2</v>
      </c>
      <c r="C64" s="48">
        <f>'Yazılım SW Hatası'!C55</f>
        <v>0</v>
      </c>
      <c r="D64" s="48">
        <f t="shared" si="14"/>
        <v>0</v>
      </c>
      <c r="E64" s="48">
        <f>SQRT('Yazılım SW Hatası'!$D$148*(1-'Yazılım SW Hatası'!$D$148)/B64)</f>
        <v>5.0162654783156922E-2</v>
      </c>
      <c r="F64" s="48">
        <f>(D64-'Yazılım SW Hatası'!$D$148)/E64</f>
        <v>-0.10083535181118582</v>
      </c>
      <c r="G64" s="48">
        <f t="shared" si="22"/>
        <v>0</v>
      </c>
      <c r="H64" s="48">
        <f t="shared" si="23"/>
        <v>0</v>
      </c>
      <c r="I64" s="48">
        <f t="shared" si="15"/>
        <v>5</v>
      </c>
      <c r="J64" s="48">
        <f t="shared" si="16"/>
        <v>-5</v>
      </c>
      <c r="K64" s="48">
        <f t="shared" si="24"/>
        <v>-5.604734205027323E-2</v>
      </c>
      <c r="L64" s="48">
        <f>$B$5*SQRT(($B$4/(2-$B$4))*(1-(1-$B$4)^(2*54)))</f>
        <v>0.99999999998291211</v>
      </c>
      <c r="M64" s="48">
        <f t="shared" si="17"/>
        <v>-0.99999999998291211</v>
      </c>
      <c r="O64" s="53">
        <f>'Elektronik- Fonksiyon Hatası '!A55</f>
        <v>46118</v>
      </c>
      <c r="P64" s="48">
        <f>'Elektronik- Fonksiyon Hatası '!B55</f>
        <v>2</v>
      </c>
      <c r="Q64" s="48">
        <f>'Elektronik- Fonksiyon Hatası '!C55</f>
        <v>0</v>
      </c>
      <c r="R64" s="48">
        <f t="shared" si="18"/>
        <v>0</v>
      </c>
      <c r="S64" s="48">
        <f>SQRT('Elektronik- Fonksiyon Hatası '!$D$148*(1-'Elektronik- Fonksiyon Hatası '!$D$148)/P64)</f>
        <v>5.3650426951034225E-2</v>
      </c>
      <c r="T64" s="48">
        <f>(R64-'Elektronik- Fonksiyon Hatası '!$D$148)/S64</f>
        <v>-0.10792577259390536</v>
      </c>
      <c r="U64" s="48">
        <f t="shared" si="25"/>
        <v>0</v>
      </c>
      <c r="V64" s="48">
        <f t="shared" si="26"/>
        <v>0</v>
      </c>
      <c r="W64" s="48">
        <f t="shared" si="19"/>
        <v>5</v>
      </c>
      <c r="X64" s="48">
        <f t="shared" si="20"/>
        <v>-5</v>
      </c>
      <c r="Y64" s="48">
        <f t="shared" si="27"/>
        <v>-6.4577420661962717E-2</v>
      </c>
      <c r="Z64" s="48">
        <f>$B$5*SQRT(($B$4/(2-$B$4))*(1-(1-$B$4)^(2*54)))</f>
        <v>0.99999999998291211</v>
      </c>
      <c r="AA64" s="48">
        <f t="shared" si="21"/>
        <v>-0.99999999998291211</v>
      </c>
    </row>
    <row r="65" spans="1:27" x14ac:dyDescent="0.35">
      <c r="A65" s="53">
        <f>'Yazılım SW Hatası'!A56</f>
        <v>46119</v>
      </c>
      <c r="B65" s="48">
        <f>'Yazılım SW Hatası'!B56</f>
        <v>14</v>
      </c>
      <c r="C65" s="48">
        <f>'Yazılım SW Hatası'!C56</f>
        <v>0</v>
      </c>
      <c r="D65" s="48">
        <f t="shared" si="14"/>
        <v>0</v>
      </c>
      <c r="E65" s="48">
        <f>SQRT('Yazılım SW Hatası'!$D$148*(1-'Yazılım SW Hatası'!$D$148)/B65)</f>
        <v>1.8959701379859698E-2</v>
      </c>
      <c r="F65" s="48">
        <f>(D65-'Yazılım SW Hatası'!$D$148)/E65</f>
        <v>-0.2667852642561041</v>
      </c>
      <c r="G65" s="48">
        <f t="shared" si="22"/>
        <v>0</v>
      </c>
      <c r="H65" s="48">
        <f t="shared" si="23"/>
        <v>0</v>
      </c>
      <c r="I65" s="48">
        <f t="shared" si="15"/>
        <v>5</v>
      </c>
      <c r="J65" s="48">
        <f t="shared" si="16"/>
        <v>-5</v>
      </c>
      <c r="K65" s="48">
        <f t="shared" si="24"/>
        <v>-9.8194926491439405E-2</v>
      </c>
      <c r="L65" s="48">
        <f>$B$5*SQRT(($B$4/(2-$B$4))*(1-(1-$B$4)^(2*55)))</f>
        <v>0.99999999998906386</v>
      </c>
      <c r="M65" s="48">
        <f t="shared" si="17"/>
        <v>-0.99999999998906386</v>
      </c>
      <c r="O65" s="53">
        <f>'Elektronik- Fonksiyon Hatası '!A56</f>
        <v>46119</v>
      </c>
      <c r="P65" s="48">
        <f>'Elektronik- Fonksiyon Hatası '!B56</f>
        <v>14</v>
      </c>
      <c r="Q65" s="48">
        <f>'Elektronik- Fonksiyon Hatası '!C56</f>
        <v>0</v>
      </c>
      <c r="R65" s="48">
        <f t="shared" si="18"/>
        <v>0</v>
      </c>
      <c r="S65" s="48">
        <f>SQRT('Elektronik- Fonksiyon Hatası '!$D$148*(1-'Elektronik- Fonksiyon Hatası '!$D$148)/P65)</f>
        <v>2.0277955349267691E-2</v>
      </c>
      <c r="T65" s="48">
        <f>(R65-'Elektronik- Fonksiyon Hatası '!$D$148)/S65</f>
        <v>-0.28554475433798399</v>
      </c>
      <c r="U65" s="48">
        <f t="shared" si="25"/>
        <v>0</v>
      </c>
      <c r="V65" s="48">
        <f t="shared" si="26"/>
        <v>0</v>
      </c>
      <c r="W65" s="48">
        <f t="shared" si="19"/>
        <v>5</v>
      </c>
      <c r="X65" s="48">
        <f t="shared" si="20"/>
        <v>-5</v>
      </c>
      <c r="Y65" s="48">
        <f t="shared" si="27"/>
        <v>-0.10877088739716698</v>
      </c>
      <c r="Z65" s="48">
        <f>$B$5*SQRT(($B$4/(2-$B$4))*(1-(1-$B$4)^(2*55)))</f>
        <v>0.99999999998906386</v>
      </c>
      <c r="AA65" s="48">
        <f t="shared" si="21"/>
        <v>-0.99999999998906386</v>
      </c>
    </row>
    <row r="66" spans="1:27" x14ac:dyDescent="0.35">
      <c r="A66" s="53">
        <f>'Yazılım SW Hatası'!A57</f>
        <v>46120</v>
      </c>
      <c r="B66" s="48">
        <f>'Yazılım SW Hatası'!B57</f>
        <v>8</v>
      </c>
      <c r="C66" s="48">
        <f>'Yazılım SW Hatası'!C57</f>
        <v>0</v>
      </c>
      <c r="D66" s="48">
        <f t="shared" si="14"/>
        <v>0</v>
      </c>
      <c r="E66" s="48">
        <f>SQRT('Yazılım SW Hatası'!$D$148*(1-'Yazılım SW Hatası'!$D$148)/B66)</f>
        <v>2.5081327391578461E-2</v>
      </c>
      <c r="F66" s="48">
        <f>(D66-'Yazılım SW Hatası'!$D$148)/E66</f>
        <v>-0.20167070362237163</v>
      </c>
      <c r="G66" s="48">
        <f t="shared" si="22"/>
        <v>0</v>
      </c>
      <c r="H66" s="48">
        <f t="shared" si="23"/>
        <v>0</v>
      </c>
      <c r="I66" s="48">
        <f t="shared" si="15"/>
        <v>5</v>
      </c>
      <c r="J66" s="48">
        <f t="shared" si="16"/>
        <v>-5</v>
      </c>
      <c r="K66" s="48">
        <f t="shared" si="24"/>
        <v>-0.11889008191762586</v>
      </c>
      <c r="L66" s="48">
        <f>$B$5*SQRT(($B$4/(2-$B$4))*(1-(1-$B$4)^(2*56)))</f>
        <v>0.99999999999300093</v>
      </c>
      <c r="M66" s="48">
        <f t="shared" si="17"/>
        <v>-0.99999999999300093</v>
      </c>
      <c r="O66" s="53">
        <f>'Elektronik- Fonksiyon Hatası '!A57</f>
        <v>46120</v>
      </c>
      <c r="P66" s="48">
        <f>'Elektronik- Fonksiyon Hatası '!B57</f>
        <v>8</v>
      </c>
      <c r="Q66" s="48">
        <f>'Elektronik- Fonksiyon Hatası '!C57</f>
        <v>0</v>
      </c>
      <c r="R66" s="48">
        <f t="shared" si="18"/>
        <v>0</v>
      </c>
      <c r="S66" s="48">
        <f>SQRT('Elektronik- Fonksiyon Hatası '!$D$148*(1-'Elektronik- Fonksiyon Hatası '!$D$148)/P66)</f>
        <v>2.6825213475517112E-2</v>
      </c>
      <c r="T66" s="48">
        <f>(R66-'Elektronik- Fonksiyon Hatası '!$D$148)/S66</f>
        <v>-0.21585154518781072</v>
      </c>
      <c r="U66" s="48">
        <f t="shared" si="25"/>
        <v>0</v>
      </c>
      <c r="V66" s="48">
        <f t="shared" si="26"/>
        <v>0</v>
      </c>
      <c r="W66" s="48">
        <f t="shared" si="19"/>
        <v>5</v>
      </c>
      <c r="X66" s="48">
        <f t="shared" si="20"/>
        <v>-5</v>
      </c>
      <c r="Y66" s="48">
        <f t="shared" si="27"/>
        <v>-0.13018701895529572</v>
      </c>
      <c r="Z66" s="48">
        <f>$B$5*SQRT(($B$4/(2-$B$4))*(1-(1-$B$4)^(2*56)))</f>
        <v>0.99999999999300093</v>
      </c>
      <c r="AA66" s="48">
        <f t="shared" si="21"/>
        <v>-0.99999999999300093</v>
      </c>
    </row>
    <row r="67" spans="1:27" x14ac:dyDescent="0.35">
      <c r="A67" s="53">
        <f>'Yazılım SW Hatası'!A58</f>
        <v>46121</v>
      </c>
      <c r="B67" s="48">
        <f>'Yazılım SW Hatası'!B58</f>
        <v>25</v>
      </c>
      <c r="C67" s="48">
        <f>'Yazılım SW Hatası'!C58</f>
        <v>0</v>
      </c>
      <c r="D67" s="48">
        <f t="shared" si="14"/>
        <v>0</v>
      </c>
      <c r="E67" s="48">
        <f>SQRT('Yazılım SW Hatası'!$D$148*(1-'Yazılım SW Hatası'!$D$148)/B67)</f>
        <v>1.4188141343796026E-2</v>
      </c>
      <c r="F67" s="48">
        <f>(D67-'Yazılım SW Hatası'!$D$148)/E67</f>
        <v>-0.35650680524510353</v>
      </c>
      <c r="G67" s="48">
        <f t="shared" si="22"/>
        <v>0</v>
      </c>
      <c r="H67" s="48">
        <f t="shared" si="23"/>
        <v>0</v>
      </c>
      <c r="I67" s="48">
        <f t="shared" si="15"/>
        <v>5</v>
      </c>
      <c r="J67" s="48">
        <f t="shared" si="16"/>
        <v>-5</v>
      </c>
      <c r="K67" s="48">
        <f t="shared" si="24"/>
        <v>-0.16641342658312142</v>
      </c>
      <c r="L67" s="48">
        <f>$B$5*SQRT(($B$4/(2-$B$4))*(1-(1-$B$4)^(2*57)))</f>
        <v>0.99999999999552047</v>
      </c>
      <c r="M67" s="48">
        <f t="shared" si="17"/>
        <v>-0.99999999999552047</v>
      </c>
      <c r="O67" s="53">
        <f>'Elektronik- Fonksiyon Hatası '!A58</f>
        <v>46121</v>
      </c>
      <c r="P67" s="48">
        <f>'Elektronik- Fonksiyon Hatası '!B58</f>
        <v>25</v>
      </c>
      <c r="Q67" s="48">
        <f>'Elektronik- Fonksiyon Hatası '!C58</f>
        <v>0</v>
      </c>
      <c r="R67" s="48">
        <f t="shared" si="18"/>
        <v>0</v>
      </c>
      <c r="S67" s="48">
        <f>SQRT('Elektronik- Fonksiyon Hatası '!$D$148*(1-'Elektronik- Fonksiyon Hatası '!$D$148)/P67)</f>
        <v>1.5174632284251924E-2</v>
      </c>
      <c r="T67" s="48">
        <f>(R67-'Elektronik- Fonksiyon Hatası '!$D$148)/S67</f>
        <v>-0.38157522832973861</v>
      </c>
      <c r="U67" s="48">
        <f t="shared" si="25"/>
        <v>0</v>
      </c>
      <c r="V67" s="48">
        <f t="shared" si="26"/>
        <v>0</v>
      </c>
      <c r="W67" s="48">
        <f t="shared" si="19"/>
        <v>5</v>
      </c>
      <c r="X67" s="48">
        <f t="shared" si="20"/>
        <v>-5</v>
      </c>
      <c r="Y67" s="48">
        <f t="shared" si="27"/>
        <v>-0.18046466083018431</v>
      </c>
      <c r="Z67" s="48">
        <f>$B$5*SQRT(($B$4/(2-$B$4))*(1-(1-$B$4)^(2*57)))</f>
        <v>0.99999999999552047</v>
      </c>
      <c r="AA67" s="48">
        <f t="shared" si="21"/>
        <v>-0.99999999999552047</v>
      </c>
    </row>
    <row r="68" spans="1:27" x14ac:dyDescent="0.35">
      <c r="A68" s="53">
        <f>'Yazılım SW Hatası'!A59</f>
        <v>46122</v>
      </c>
      <c r="B68" s="48">
        <f>'Yazılım SW Hatası'!B59</f>
        <v>1</v>
      </c>
      <c r="C68" s="48">
        <f>'Yazılım SW Hatası'!C59</f>
        <v>0</v>
      </c>
      <c r="D68" s="48">
        <f t="shared" si="14"/>
        <v>0</v>
      </c>
      <c r="E68" s="48">
        <f>SQRT('Yazılım SW Hatası'!$D$148*(1-'Yazılım SW Hatası'!$D$148)/B68)</f>
        <v>7.0940706718980132E-2</v>
      </c>
      <c r="F68" s="48">
        <f>(D68-'Yazılım SW Hatası'!$D$148)/E68</f>
        <v>-7.1301361049020698E-2</v>
      </c>
      <c r="G68" s="48">
        <f t="shared" si="22"/>
        <v>0</v>
      </c>
      <c r="H68" s="48">
        <f t="shared" si="23"/>
        <v>0</v>
      </c>
      <c r="I68" s="48">
        <f t="shared" si="15"/>
        <v>5</v>
      </c>
      <c r="J68" s="48">
        <f t="shared" si="16"/>
        <v>-5</v>
      </c>
      <c r="K68" s="48">
        <f t="shared" si="24"/>
        <v>-0.14739101347630126</v>
      </c>
      <c r="L68" s="48">
        <f>$B$5*SQRT(($B$4/(2-$B$4))*(1-(1-$B$4)^(2*58)))</f>
        <v>0.99999999999713307</v>
      </c>
      <c r="M68" s="48">
        <f t="shared" si="17"/>
        <v>-0.99999999999713307</v>
      </c>
      <c r="O68" s="53">
        <f>'Elektronik- Fonksiyon Hatası '!A59</f>
        <v>46122</v>
      </c>
      <c r="P68" s="48">
        <f>'Elektronik- Fonksiyon Hatası '!B59</f>
        <v>1</v>
      </c>
      <c r="Q68" s="48">
        <f>'Elektronik- Fonksiyon Hatası '!C59</f>
        <v>0</v>
      </c>
      <c r="R68" s="48">
        <f t="shared" si="18"/>
        <v>0</v>
      </c>
      <c r="S68" s="48">
        <f>SQRT('Elektronik- Fonksiyon Hatası '!$D$148*(1-'Elektronik- Fonksiyon Hatası '!$D$148)/P68)</f>
        <v>7.5873161421259619E-2</v>
      </c>
      <c r="T68" s="48">
        <f>(R68-'Elektronik- Fonksiyon Hatası '!$D$148)/S68</f>
        <v>-7.6315045665947726E-2</v>
      </c>
      <c r="U68" s="48">
        <f t="shared" si="25"/>
        <v>0</v>
      </c>
      <c r="V68" s="48">
        <f t="shared" si="26"/>
        <v>0</v>
      </c>
      <c r="W68" s="48">
        <f t="shared" si="19"/>
        <v>5</v>
      </c>
      <c r="X68" s="48">
        <f t="shared" si="20"/>
        <v>-5</v>
      </c>
      <c r="Y68" s="48">
        <f t="shared" si="27"/>
        <v>-0.159634737797337</v>
      </c>
      <c r="Z68" s="48">
        <f>$B$5*SQRT(($B$4/(2-$B$4))*(1-(1-$B$4)^(2*58)))</f>
        <v>0.99999999999713307</v>
      </c>
      <c r="AA68" s="48">
        <f t="shared" si="21"/>
        <v>-0.99999999999713307</v>
      </c>
    </row>
    <row r="69" spans="1:27" x14ac:dyDescent="0.35">
      <c r="A69" s="53">
        <f>'Yazılım SW Hatası'!A60</f>
        <v>46125</v>
      </c>
      <c r="B69" s="48">
        <f>'Yazılım SW Hatası'!B60</f>
        <v>43</v>
      </c>
      <c r="C69" s="48">
        <f>'Yazılım SW Hatası'!C60</f>
        <v>0</v>
      </c>
      <c r="D69" s="48">
        <f t="shared" si="14"/>
        <v>0</v>
      </c>
      <c r="E69" s="48">
        <f>SQRT('Yazılım SW Hatası'!$D$148*(1-'Yazılım SW Hatası'!$D$148)/B69)</f>
        <v>1.0818356353029072E-2</v>
      </c>
      <c r="F69" s="48">
        <f>(D69-'Yazılım SW Hatası'!$D$148)/E69</f>
        <v>-0.46755429177801444</v>
      </c>
      <c r="G69" s="48">
        <f t="shared" si="22"/>
        <v>0</v>
      </c>
      <c r="H69" s="48">
        <f t="shared" si="23"/>
        <v>0</v>
      </c>
      <c r="I69" s="48">
        <f t="shared" si="15"/>
        <v>5</v>
      </c>
      <c r="J69" s="48">
        <f t="shared" si="16"/>
        <v>-5</v>
      </c>
      <c r="K69" s="48">
        <f t="shared" si="24"/>
        <v>-0.2114236691366439</v>
      </c>
      <c r="L69" s="48">
        <f>$B$5*SQRT(($B$4/(2-$B$4))*(1-(1-$B$4)^(2*59)))</f>
        <v>0.99999999999816525</v>
      </c>
      <c r="M69" s="48">
        <f t="shared" si="17"/>
        <v>-0.99999999999816525</v>
      </c>
      <c r="O69" s="53">
        <f>'Elektronik- Fonksiyon Hatası '!A60</f>
        <v>46125</v>
      </c>
      <c r="P69" s="48">
        <f>'Elektronik- Fonksiyon Hatası '!B60</f>
        <v>43</v>
      </c>
      <c r="Q69" s="48">
        <f>'Elektronik- Fonksiyon Hatası '!C60</f>
        <v>0</v>
      </c>
      <c r="R69" s="48">
        <f t="shared" si="18"/>
        <v>0</v>
      </c>
      <c r="S69" s="48">
        <f>SQRT('Elektronik- Fonksiyon Hatası '!$D$148*(1-'Elektronik- Fonksiyon Hatası '!$D$148)/P69)</f>
        <v>1.1570548643357027E-2</v>
      </c>
      <c r="T69" s="48">
        <f>(R69-'Elektronik- Fonksiyon Hatası '!$D$148)/S69</f>
        <v>-0.50043122043375199</v>
      </c>
      <c r="U69" s="48">
        <f t="shared" si="25"/>
        <v>0</v>
      </c>
      <c r="V69" s="48">
        <f t="shared" si="26"/>
        <v>4.3122043375198871E-4</v>
      </c>
      <c r="W69" s="48">
        <f t="shared" si="19"/>
        <v>5</v>
      </c>
      <c r="X69" s="48">
        <f t="shared" si="20"/>
        <v>-5</v>
      </c>
      <c r="Y69" s="48">
        <f t="shared" si="27"/>
        <v>-0.22779403432462</v>
      </c>
      <c r="Z69" s="48">
        <f>$B$5*SQRT(($B$4/(2-$B$4))*(1-(1-$B$4)^(2*59)))</f>
        <v>0.99999999999816525</v>
      </c>
      <c r="AA69" s="48">
        <f t="shared" si="21"/>
        <v>-0.99999999999816525</v>
      </c>
    </row>
    <row r="70" spans="1:27" x14ac:dyDescent="0.35">
      <c r="A70" s="53">
        <f>'Yazılım SW Hatası'!A61</f>
        <v>46126</v>
      </c>
      <c r="B70" s="48">
        <f>'Yazılım SW Hatası'!B61</f>
        <v>14</v>
      </c>
      <c r="C70" s="48">
        <f>'Yazılım SW Hatası'!C61</f>
        <v>0</v>
      </c>
      <c r="D70" s="48">
        <f t="shared" si="14"/>
        <v>0</v>
      </c>
      <c r="E70" s="48">
        <f>SQRT('Yazılım SW Hatası'!$D$148*(1-'Yazılım SW Hatası'!$D$148)/B70)</f>
        <v>1.8959701379859698E-2</v>
      </c>
      <c r="F70" s="48">
        <f>(D70-'Yazılım SW Hatası'!$D$148)/E70</f>
        <v>-0.2667852642561041</v>
      </c>
      <c r="G70" s="48">
        <f t="shared" si="22"/>
        <v>0</v>
      </c>
      <c r="H70" s="48">
        <f t="shared" si="23"/>
        <v>0</v>
      </c>
      <c r="I70" s="48">
        <f t="shared" si="15"/>
        <v>5</v>
      </c>
      <c r="J70" s="48">
        <f t="shared" si="16"/>
        <v>-5</v>
      </c>
      <c r="K70" s="48">
        <f t="shared" si="24"/>
        <v>-0.22249598816053595</v>
      </c>
      <c r="L70" s="48">
        <f>$B$5*SQRT(($B$4/(2-$B$4))*(1-(1-$B$4)^(2*60)))</f>
        <v>0.99999999999882572</v>
      </c>
      <c r="M70" s="48">
        <f t="shared" si="17"/>
        <v>-0.99999999999882572</v>
      </c>
      <c r="O70" s="53">
        <f>'Elektronik- Fonksiyon Hatası '!A61</f>
        <v>46126</v>
      </c>
      <c r="P70" s="48">
        <f>'Elektronik- Fonksiyon Hatası '!B61</f>
        <v>14</v>
      </c>
      <c r="Q70" s="48">
        <f>'Elektronik- Fonksiyon Hatası '!C61</f>
        <v>0</v>
      </c>
      <c r="R70" s="48">
        <f t="shared" si="18"/>
        <v>0</v>
      </c>
      <c r="S70" s="48">
        <f>SQRT('Elektronik- Fonksiyon Hatası '!$D$148*(1-'Elektronik- Fonksiyon Hatası '!$D$148)/P70)</f>
        <v>2.0277955349267691E-2</v>
      </c>
      <c r="T70" s="48">
        <f>(R70-'Elektronik- Fonksiyon Hatası '!$D$148)/S70</f>
        <v>-0.28554475433798399</v>
      </c>
      <c r="U70" s="48">
        <f t="shared" si="25"/>
        <v>0</v>
      </c>
      <c r="V70" s="48">
        <f t="shared" si="26"/>
        <v>0</v>
      </c>
      <c r="W70" s="48">
        <f t="shared" si="19"/>
        <v>5</v>
      </c>
      <c r="X70" s="48">
        <f t="shared" si="20"/>
        <v>-5</v>
      </c>
      <c r="Y70" s="48">
        <f t="shared" si="27"/>
        <v>-0.23934417832729279</v>
      </c>
      <c r="Z70" s="48">
        <f>$B$5*SQRT(($B$4/(2-$B$4))*(1-(1-$B$4)^(2*60)))</f>
        <v>0.99999999999882572</v>
      </c>
      <c r="AA70" s="48">
        <f t="shared" si="21"/>
        <v>-0.99999999999882572</v>
      </c>
    </row>
    <row r="71" spans="1:27" x14ac:dyDescent="0.35">
      <c r="A71" s="53">
        <f>'Yazılım SW Hatası'!A62</f>
        <v>46127</v>
      </c>
      <c r="B71" s="48">
        <f>'Yazılım SW Hatası'!B62</f>
        <v>5</v>
      </c>
      <c r="C71" s="48">
        <f>'Yazılım SW Hatası'!C62</f>
        <v>0</v>
      </c>
      <c r="D71" s="48">
        <f t="shared" si="14"/>
        <v>0</v>
      </c>
      <c r="E71" s="48">
        <f>SQRT('Yazılım SW Hatası'!$D$148*(1-'Yazılım SW Hatası'!$D$148)/B71)</f>
        <v>3.1725648519103131E-2</v>
      </c>
      <c r="F71" s="48">
        <f>(D71-'Yazılım SW Hatası'!$D$148)/E71</f>
        <v>-0.159434690193866</v>
      </c>
      <c r="G71" s="48">
        <f t="shared" si="22"/>
        <v>0</v>
      </c>
      <c r="H71" s="48">
        <f t="shared" si="23"/>
        <v>0</v>
      </c>
      <c r="I71" s="48">
        <f t="shared" si="15"/>
        <v>5</v>
      </c>
      <c r="J71" s="48">
        <f t="shared" si="16"/>
        <v>-5</v>
      </c>
      <c r="K71" s="48">
        <f t="shared" si="24"/>
        <v>-0.20988372856720197</v>
      </c>
      <c r="L71" s="48">
        <f>$B$5*SQRT(($B$4/(2-$B$4))*(1-(1-$B$4)^(2*61)))</f>
        <v>0.9999999999992486</v>
      </c>
      <c r="M71" s="48">
        <f t="shared" si="17"/>
        <v>-0.9999999999992486</v>
      </c>
      <c r="O71" s="53">
        <f>'Elektronik- Fonksiyon Hatası '!A62</f>
        <v>46127</v>
      </c>
      <c r="P71" s="48">
        <f>'Elektronik- Fonksiyon Hatası '!B62</f>
        <v>5</v>
      </c>
      <c r="Q71" s="48">
        <f>'Elektronik- Fonksiyon Hatası '!C62</f>
        <v>0</v>
      </c>
      <c r="R71" s="48">
        <f t="shared" si="18"/>
        <v>0</v>
      </c>
      <c r="S71" s="48">
        <f>SQRT('Elektronik- Fonksiyon Hatası '!$D$148*(1-'Elektronik- Fonksiyon Hatası '!$D$148)/P71)</f>
        <v>3.3931509321150216E-2</v>
      </c>
      <c r="T71" s="48">
        <f>(R71-'Elektronik- Fonksiyon Hatası '!$D$148)/S71</f>
        <v>-0.17064562981505982</v>
      </c>
      <c r="U71" s="48">
        <f t="shared" si="25"/>
        <v>0</v>
      </c>
      <c r="V71" s="48">
        <f t="shared" si="26"/>
        <v>0</v>
      </c>
      <c r="W71" s="48">
        <f t="shared" si="19"/>
        <v>5</v>
      </c>
      <c r="X71" s="48">
        <f t="shared" si="20"/>
        <v>-5</v>
      </c>
      <c r="Y71" s="48">
        <f t="shared" si="27"/>
        <v>-0.22560446862484621</v>
      </c>
      <c r="Z71" s="48">
        <f>$B$5*SQRT(($B$4/(2-$B$4))*(1-(1-$B$4)^(2*61)))</f>
        <v>0.9999999999992486</v>
      </c>
      <c r="AA71" s="48">
        <f t="shared" si="21"/>
        <v>-0.9999999999992486</v>
      </c>
    </row>
    <row r="72" spans="1:27" x14ac:dyDescent="0.35">
      <c r="A72" s="53">
        <f>'Yazılım SW Hatası'!A63</f>
        <v>46128</v>
      </c>
      <c r="B72" s="48">
        <f>'Yazılım SW Hatası'!B63</f>
        <v>53</v>
      </c>
      <c r="C72" s="48">
        <f>'Yazılım SW Hatası'!C63</f>
        <v>0</v>
      </c>
      <c r="D72" s="48">
        <f t="shared" si="14"/>
        <v>0</v>
      </c>
      <c r="E72" s="48">
        <f>SQRT('Yazılım SW Hatası'!$D$148*(1-'Yazılım SW Hatası'!$D$148)/B72)</f>
        <v>9.7444554818376626E-3</v>
      </c>
      <c r="F72" s="48">
        <f>(D72-'Yazılım SW Hatası'!$D$148)/E72</f>
        <v>-0.51908174369213644</v>
      </c>
      <c r="G72" s="48">
        <f t="shared" si="22"/>
        <v>0</v>
      </c>
      <c r="H72" s="48">
        <f t="shared" si="23"/>
        <v>1.9081743692136444E-2</v>
      </c>
      <c r="I72" s="48">
        <f t="shared" si="15"/>
        <v>5</v>
      </c>
      <c r="J72" s="48">
        <f t="shared" si="16"/>
        <v>-5</v>
      </c>
      <c r="K72" s="48">
        <f t="shared" si="24"/>
        <v>-0.27172333159218887</v>
      </c>
      <c r="L72" s="48">
        <f>$B$5*SQRT(($B$4/(2-$B$4))*(1-(1-$B$4)^(2*62)))</f>
        <v>0.99999999999951905</v>
      </c>
      <c r="M72" s="48">
        <f t="shared" si="17"/>
        <v>-0.99999999999951905</v>
      </c>
      <c r="O72" s="53">
        <f>'Elektronik- Fonksiyon Hatası '!A63</f>
        <v>46128</v>
      </c>
      <c r="P72" s="48">
        <f>'Elektronik- Fonksiyon Hatası '!B63</f>
        <v>53</v>
      </c>
      <c r="Q72" s="48">
        <f>'Elektronik- Fonksiyon Hatası '!C63</f>
        <v>0</v>
      </c>
      <c r="R72" s="48">
        <f t="shared" si="18"/>
        <v>0</v>
      </c>
      <c r="S72" s="48">
        <f>SQRT('Elektronik- Fonksiyon Hatası '!$D$148*(1-'Elektronik- Fonksiyon Hatası '!$D$148)/P72)</f>
        <v>1.0421980241394136E-2</v>
      </c>
      <c r="T72" s="48">
        <f>(R72-'Elektronik- Fonksiyon Hatası '!$D$148)/S72</f>
        <v>-0.55558191865356044</v>
      </c>
      <c r="U72" s="48">
        <f t="shared" si="25"/>
        <v>0</v>
      </c>
      <c r="V72" s="48">
        <f t="shared" si="26"/>
        <v>5.5581918653560436E-2</v>
      </c>
      <c r="W72" s="48">
        <f t="shared" si="19"/>
        <v>5</v>
      </c>
      <c r="X72" s="48">
        <f t="shared" si="20"/>
        <v>-5</v>
      </c>
      <c r="Y72" s="48">
        <f t="shared" si="27"/>
        <v>-0.29159995863058907</v>
      </c>
      <c r="Z72" s="48">
        <f>$B$5*SQRT(($B$4/(2-$B$4))*(1-(1-$B$4)^(2*62)))</f>
        <v>0.99999999999951905</v>
      </c>
      <c r="AA72" s="48">
        <f t="shared" si="21"/>
        <v>-0.99999999999951905</v>
      </c>
    </row>
    <row r="73" spans="1:27" x14ac:dyDescent="0.35">
      <c r="A73" s="53">
        <f>'Yazılım SW Hatası'!A64</f>
        <v>46132</v>
      </c>
      <c r="B73" s="48">
        <f>'Yazılım SW Hatası'!B64</f>
        <v>8</v>
      </c>
      <c r="C73" s="48">
        <f>'Yazılım SW Hatası'!C64</f>
        <v>0</v>
      </c>
      <c r="D73" s="48">
        <f t="shared" si="14"/>
        <v>0</v>
      </c>
      <c r="E73" s="48">
        <f>SQRT('Yazılım SW Hatası'!$D$148*(1-'Yazılım SW Hatası'!$D$148)/B73)</f>
        <v>2.5081327391578461E-2</v>
      </c>
      <c r="F73" s="48">
        <f>(D73-'Yazılım SW Hatası'!$D$148)/E73</f>
        <v>-0.20167070362237163</v>
      </c>
      <c r="G73" s="48">
        <f t="shared" si="22"/>
        <v>0</v>
      </c>
      <c r="H73" s="48">
        <f t="shared" si="23"/>
        <v>0</v>
      </c>
      <c r="I73" s="48">
        <f t="shared" si="15"/>
        <v>5</v>
      </c>
      <c r="J73" s="48">
        <f t="shared" si="16"/>
        <v>-5</v>
      </c>
      <c r="K73" s="48">
        <f t="shared" si="24"/>
        <v>-0.25771280599822544</v>
      </c>
      <c r="L73" s="48">
        <f>$B$5*SQRT(($B$4/(2-$B$4))*(1-(1-$B$4)^(2*63)))</f>
        <v>0.99999999999969225</v>
      </c>
      <c r="M73" s="48">
        <f t="shared" si="17"/>
        <v>-0.99999999999969225</v>
      </c>
      <c r="O73" s="53">
        <f>'Elektronik- Fonksiyon Hatası '!A64</f>
        <v>46132</v>
      </c>
      <c r="P73" s="48">
        <f>'Elektronik- Fonksiyon Hatası '!B64</f>
        <v>8</v>
      </c>
      <c r="Q73" s="48">
        <f>'Elektronik- Fonksiyon Hatası '!C64</f>
        <v>0</v>
      </c>
      <c r="R73" s="48">
        <f t="shared" si="18"/>
        <v>0</v>
      </c>
      <c r="S73" s="48">
        <f>SQRT('Elektronik- Fonksiyon Hatası '!$D$148*(1-'Elektronik- Fonksiyon Hatası '!$D$148)/P73)</f>
        <v>2.6825213475517112E-2</v>
      </c>
      <c r="T73" s="48">
        <f>(R73-'Elektronik- Fonksiyon Hatası '!$D$148)/S73</f>
        <v>-0.21585154518781072</v>
      </c>
      <c r="U73" s="48">
        <f t="shared" si="25"/>
        <v>0</v>
      </c>
      <c r="V73" s="48">
        <f t="shared" si="26"/>
        <v>0</v>
      </c>
      <c r="W73" s="48">
        <f t="shared" si="19"/>
        <v>5</v>
      </c>
      <c r="X73" s="48">
        <f t="shared" si="20"/>
        <v>-5</v>
      </c>
      <c r="Y73" s="48">
        <f t="shared" si="27"/>
        <v>-0.27645027594203342</v>
      </c>
      <c r="Z73" s="48">
        <f>$B$5*SQRT(($B$4/(2-$B$4))*(1-(1-$B$4)^(2*63)))</f>
        <v>0.99999999999969225</v>
      </c>
      <c r="AA73" s="48">
        <f t="shared" si="21"/>
        <v>-0.99999999999969225</v>
      </c>
    </row>
    <row r="74" spans="1:27" x14ac:dyDescent="0.35">
      <c r="A74" s="53">
        <f>'Yazılım SW Hatası'!A65</f>
        <v>46133</v>
      </c>
      <c r="B74" s="48">
        <f>'Yazılım SW Hatası'!B65</f>
        <v>19</v>
      </c>
      <c r="C74" s="48">
        <f>'Yazılım SW Hatası'!C65</f>
        <v>0</v>
      </c>
      <c r="D74" s="48">
        <f t="shared" si="14"/>
        <v>0</v>
      </c>
      <c r="E74" s="48">
        <f>SQRT('Yazılım SW Hatası'!$D$148*(1-'Yazılım SW Hatası'!$D$148)/B74)</f>
        <v>1.6274914293231118E-2</v>
      </c>
      <c r="F74" s="48">
        <f>(D74-'Yazılım SW Hatası'!$D$148)/E74</f>
        <v>-0.31079542734958848</v>
      </c>
      <c r="G74" s="48">
        <f t="shared" si="22"/>
        <v>0</v>
      </c>
      <c r="H74" s="48">
        <f t="shared" si="23"/>
        <v>0</v>
      </c>
      <c r="I74" s="48">
        <f t="shared" si="15"/>
        <v>5</v>
      </c>
      <c r="J74" s="48">
        <f t="shared" si="16"/>
        <v>-5</v>
      </c>
      <c r="K74" s="48">
        <f t="shared" si="24"/>
        <v>-0.26832933026849809</v>
      </c>
      <c r="L74" s="48">
        <f>$B$5*SQRT(($B$4/(2-$B$4))*(1-(1-$B$4)^(2*64)))</f>
        <v>0.99999999999980294</v>
      </c>
      <c r="M74" s="48">
        <f t="shared" si="17"/>
        <v>-0.99999999999980294</v>
      </c>
      <c r="O74" s="53">
        <f>'Elektronik- Fonksiyon Hatası '!A65</f>
        <v>46133</v>
      </c>
      <c r="P74" s="48">
        <f>'Elektronik- Fonksiyon Hatası '!B65</f>
        <v>19</v>
      </c>
      <c r="Q74" s="48">
        <f>'Elektronik- Fonksiyon Hatası '!C65</f>
        <v>0</v>
      </c>
      <c r="R74" s="48">
        <f t="shared" si="18"/>
        <v>0</v>
      </c>
      <c r="S74" s="48">
        <f>SQRT('Elektronik- Fonksiyon Hatası '!$D$148*(1-'Elektronik- Fonksiyon Hatası '!$D$148)/P74)</f>
        <v>1.7406497008537872E-2</v>
      </c>
      <c r="T74" s="48">
        <f>(R74-'Elektronik- Fonksiyon Hatası '!$D$148)/S74</f>
        <v>-0.3326495719295578</v>
      </c>
      <c r="U74" s="48">
        <f t="shared" si="25"/>
        <v>0</v>
      </c>
      <c r="V74" s="48">
        <f t="shared" si="26"/>
        <v>0</v>
      </c>
      <c r="W74" s="48">
        <f t="shared" si="19"/>
        <v>5</v>
      </c>
      <c r="X74" s="48">
        <f t="shared" si="20"/>
        <v>-5</v>
      </c>
      <c r="Y74" s="48">
        <f t="shared" si="27"/>
        <v>-0.28769013513953828</v>
      </c>
      <c r="Z74" s="48">
        <f>$B$5*SQRT(($B$4/(2-$B$4))*(1-(1-$B$4)^(2*64)))</f>
        <v>0.99999999999980294</v>
      </c>
      <c r="AA74" s="48">
        <f t="shared" si="21"/>
        <v>-0.99999999999980294</v>
      </c>
    </row>
    <row r="75" spans="1:27" x14ac:dyDescent="0.35">
      <c r="A75" s="53">
        <f>'Yazılım SW Hatası'!A66</f>
        <v>46134</v>
      </c>
      <c r="B75" s="48">
        <f>'Yazılım SW Hatası'!B66</f>
        <v>2</v>
      </c>
      <c r="C75" s="48">
        <f>'Yazılım SW Hatası'!C66</f>
        <v>0</v>
      </c>
      <c r="D75" s="48">
        <f t="shared" ref="D75:D106" si="28">C75/B75</f>
        <v>0</v>
      </c>
      <c r="E75" s="48">
        <f>SQRT('Yazılım SW Hatası'!$D$148*(1-'Yazılım SW Hatası'!$D$148)/B75)</f>
        <v>5.0162654783156922E-2</v>
      </c>
      <c r="F75" s="48">
        <f>(D75-'Yazılım SW Hatası'!$D$148)/E75</f>
        <v>-0.10083535181118582</v>
      </c>
      <c r="G75" s="48">
        <f t="shared" si="22"/>
        <v>0</v>
      </c>
      <c r="H75" s="48">
        <f t="shared" si="23"/>
        <v>0</v>
      </c>
      <c r="I75" s="48">
        <f t="shared" ref="I75:I106" si="29">$B$3</f>
        <v>5</v>
      </c>
      <c r="J75" s="48">
        <f t="shared" ref="J75:J106" si="30">-$B$3</f>
        <v>-5</v>
      </c>
      <c r="K75" s="48">
        <f t="shared" si="24"/>
        <v>-0.23483053457703565</v>
      </c>
      <c r="L75" s="48">
        <f>$B$5*SQRT(($B$4/(2-$B$4))*(1-(1-$B$4)^(2*65)))</f>
        <v>0.99999999999987388</v>
      </c>
      <c r="M75" s="48">
        <f t="shared" ref="M75:M106" si="31">-L75</f>
        <v>-0.99999999999987388</v>
      </c>
      <c r="O75" s="53">
        <f>'Elektronik- Fonksiyon Hatası '!A66</f>
        <v>46134</v>
      </c>
      <c r="P75" s="48">
        <f>'Elektronik- Fonksiyon Hatası '!B66</f>
        <v>2</v>
      </c>
      <c r="Q75" s="48">
        <f>'Elektronik- Fonksiyon Hatası '!C66</f>
        <v>0</v>
      </c>
      <c r="R75" s="48">
        <f t="shared" ref="R75:R106" si="32">Q75/P75</f>
        <v>0</v>
      </c>
      <c r="S75" s="48">
        <f>SQRT('Elektronik- Fonksiyon Hatası '!$D$148*(1-'Elektronik- Fonksiyon Hatası '!$D$148)/P75)</f>
        <v>5.3650426951034225E-2</v>
      </c>
      <c r="T75" s="48">
        <f>(R75-'Elektronik- Fonksiyon Hatası '!$D$148)/S75</f>
        <v>-0.10792577259390536</v>
      </c>
      <c r="U75" s="48">
        <f t="shared" si="25"/>
        <v>0</v>
      </c>
      <c r="V75" s="48">
        <f t="shared" si="26"/>
        <v>0</v>
      </c>
      <c r="W75" s="48">
        <f t="shared" ref="W75:W106" si="33">$B$3</f>
        <v>5</v>
      </c>
      <c r="X75" s="48">
        <f t="shared" ref="X75:X106" si="34">-$B$3</f>
        <v>-5</v>
      </c>
      <c r="Y75" s="48">
        <f t="shared" si="27"/>
        <v>-0.25173726263041174</v>
      </c>
      <c r="Z75" s="48">
        <f>$B$5*SQRT(($B$4/(2-$B$4))*(1-(1-$B$4)^(2*65)))</f>
        <v>0.99999999999987388</v>
      </c>
      <c r="AA75" s="48">
        <f t="shared" ref="AA75:AA106" si="35">-Z75</f>
        <v>-0.99999999999987388</v>
      </c>
    </row>
    <row r="76" spans="1:27" x14ac:dyDescent="0.35">
      <c r="A76" s="53">
        <f>'Yazılım SW Hatası'!A67</f>
        <v>46136</v>
      </c>
      <c r="B76" s="48">
        <f>'Yazılım SW Hatası'!B67</f>
        <v>51</v>
      </c>
      <c r="C76" s="48">
        <f>'Yazılım SW Hatası'!C67</f>
        <v>0</v>
      </c>
      <c r="D76" s="48">
        <f t="shared" si="28"/>
        <v>0</v>
      </c>
      <c r="E76" s="48">
        <f>SQRT('Yazılım SW Hatası'!$D$148*(1-'Yazılım SW Hatası'!$D$148)/B76)</f>
        <v>9.9336858765459897E-3</v>
      </c>
      <c r="F76" s="48">
        <f>(D76-'Yazılım SW Hatası'!$D$148)/E76</f>
        <v>-0.5091935667892743</v>
      </c>
      <c r="G76" s="48">
        <f t="shared" ref="G76:G107" si="36">MAX(0,F76-$B$2+G75)</f>
        <v>0</v>
      </c>
      <c r="H76" s="48">
        <f t="shared" ref="H76:H107" si="37">MAX(0,-F76-$B$2+H75)</f>
        <v>9.1935667892742989E-3</v>
      </c>
      <c r="I76" s="48">
        <f t="shared" si="29"/>
        <v>5</v>
      </c>
      <c r="J76" s="48">
        <f t="shared" si="30"/>
        <v>-5</v>
      </c>
      <c r="K76" s="48">
        <f t="shared" ref="K76:K107" si="38">$B$4*F76+(1-$B$4)*K75</f>
        <v>-0.28970314101948341</v>
      </c>
      <c r="L76" s="48">
        <f>$B$5*SQRT(($B$4/(2-$B$4))*(1-(1-$B$4)^(2*66)))</f>
        <v>0.9999999999999194</v>
      </c>
      <c r="M76" s="48">
        <f t="shared" si="31"/>
        <v>-0.9999999999999194</v>
      </c>
      <c r="O76" s="53">
        <f>'Elektronik- Fonksiyon Hatası '!A67</f>
        <v>46136</v>
      </c>
      <c r="P76" s="48">
        <f>'Elektronik- Fonksiyon Hatası '!B67</f>
        <v>51</v>
      </c>
      <c r="Q76" s="48">
        <f>'Elektronik- Fonksiyon Hatası '!C67</f>
        <v>0</v>
      </c>
      <c r="R76" s="48">
        <f t="shared" si="32"/>
        <v>0</v>
      </c>
      <c r="S76" s="48">
        <f>SQRT('Elektronik- Fonksiyon Hatası '!$D$148*(1-'Elektronik- Fonksiyon Hatası '!$D$148)/P76)</f>
        <v>1.0624367685043217E-2</v>
      </c>
      <c r="T76" s="48">
        <f>(R76-'Elektronik- Fonksiyon Hatası '!$D$148)/S76</f>
        <v>-0.54499843664434489</v>
      </c>
      <c r="U76" s="48">
        <f t="shared" ref="U76:U107" si="39">MAX(0,T76-$B$2+U75)</f>
        <v>0</v>
      </c>
      <c r="V76" s="48">
        <f t="shared" ref="V76:V107" si="40">MAX(0,-T76-$B$2+V75)</f>
        <v>4.4998436644344886E-2</v>
      </c>
      <c r="W76" s="48">
        <f t="shared" si="33"/>
        <v>5</v>
      </c>
      <c r="X76" s="48">
        <f t="shared" si="34"/>
        <v>-5</v>
      </c>
      <c r="Y76" s="48">
        <f t="shared" ref="Y76:Y107" si="41">$B$4*T76+(1-$B$4)*Y75</f>
        <v>-0.31038949743319838</v>
      </c>
      <c r="Z76" s="48">
        <f>$B$5*SQRT(($B$4/(2-$B$4))*(1-(1-$B$4)^(2*66)))</f>
        <v>0.9999999999999194</v>
      </c>
      <c r="AA76" s="48">
        <f t="shared" si="35"/>
        <v>-0.9999999999999194</v>
      </c>
    </row>
    <row r="77" spans="1:27" x14ac:dyDescent="0.35">
      <c r="A77" s="53">
        <f>'Yazılım SW Hatası'!A68</f>
        <v>46139</v>
      </c>
      <c r="B77" s="48">
        <f>'Yazılım SW Hatası'!B68</f>
        <v>22</v>
      </c>
      <c r="C77" s="48">
        <f>'Yazılım SW Hatası'!C68</f>
        <v>0</v>
      </c>
      <c r="D77" s="48">
        <f t="shared" si="28"/>
        <v>0</v>
      </c>
      <c r="E77" s="48">
        <f>SQRT('Yazılım SW Hatası'!$D$148*(1-'Yazılım SW Hatası'!$D$148)/B77)</f>
        <v>1.512460949125983E-2</v>
      </c>
      <c r="F77" s="48">
        <f>(D77-'Yazılım SW Hatası'!$D$148)/E77</f>
        <v>-0.33443302756118709</v>
      </c>
      <c r="G77" s="48">
        <f t="shared" si="36"/>
        <v>0</v>
      </c>
      <c r="H77" s="48">
        <f t="shared" si="37"/>
        <v>0</v>
      </c>
      <c r="I77" s="48">
        <f t="shared" si="29"/>
        <v>5</v>
      </c>
      <c r="J77" s="48">
        <f t="shared" si="30"/>
        <v>-5</v>
      </c>
      <c r="K77" s="48">
        <f t="shared" si="38"/>
        <v>-0.29864911832782415</v>
      </c>
      <c r="L77" s="48">
        <f>$B$5*SQRT(($B$4/(2-$B$4))*(1-(1-$B$4)^(2*67)))</f>
        <v>0.99999999999994826</v>
      </c>
      <c r="M77" s="48">
        <f t="shared" si="31"/>
        <v>-0.99999999999994826</v>
      </c>
      <c r="O77" s="53">
        <f>'Elektronik- Fonksiyon Hatası '!A68</f>
        <v>46139</v>
      </c>
      <c r="P77" s="48">
        <f>'Elektronik- Fonksiyon Hatası '!B68</f>
        <v>22</v>
      </c>
      <c r="Q77" s="48">
        <f>'Elektronik- Fonksiyon Hatası '!C68</f>
        <v>0</v>
      </c>
      <c r="R77" s="48">
        <f t="shared" si="32"/>
        <v>0</v>
      </c>
      <c r="S77" s="48">
        <f>SQRT('Elektronik- Fonksiyon Hatası '!$D$148*(1-'Elektronik- Fonksiyon Hatası '!$D$148)/P77)</f>
        <v>1.6176212367177416E-2</v>
      </c>
      <c r="T77" s="48">
        <f>(R77-'Elektronik- Fonksiyon Hatası '!$D$148)/S77</f>
        <v>-0.35794929290320593</v>
      </c>
      <c r="U77" s="48">
        <f t="shared" si="39"/>
        <v>0</v>
      </c>
      <c r="V77" s="48">
        <f t="shared" si="40"/>
        <v>0</v>
      </c>
      <c r="W77" s="48">
        <f t="shared" si="33"/>
        <v>5</v>
      </c>
      <c r="X77" s="48">
        <f t="shared" si="34"/>
        <v>-5</v>
      </c>
      <c r="Y77" s="48">
        <f t="shared" si="41"/>
        <v>-0.31990145652719992</v>
      </c>
      <c r="Z77" s="48">
        <f>$B$5*SQRT(($B$4/(2-$B$4))*(1-(1-$B$4)^(2*67)))</f>
        <v>0.99999999999994826</v>
      </c>
      <c r="AA77" s="48">
        <f t="shared" si="35"/>
        <v>-0.99999999999994826</v>
      </c>
    </row>
    <row r="78" spans="1:27" x14ac:dyDescent="0.35">
      <c r="A78" s="53">
        <f>'Yazılım SW Hatası'!A69</f>
        <v>46140</v>
      </c>
      <c r="B78" s="48">
        <f>'Yazılım SW Hatası'!B69</f>
        <v>75</v>
      </c>
      <c r="C78" s="48">
        <f>'Yazılım SW Hatası'!C69</f>
        <v>0</v>
      </c>
      <c r="D78" s="48">
        <f t="shared" si="28"/>
        <v>0</v>
      </c>
      <c r="E78" s="48">
        <f>SQRT('Yazılım SW Hatası'!$D$148*(1-'Yazılım SW Hatası'!$D$148)/B78)</f>
        <v>8.1915272241410951E-3</v>
      </c>
      <c r="F78" s="48">
        <f>(D78-'Yazılım SW Hatası'!$D$148)/E78</f>
        <v>-0.61748789992858188</v>
      </c>
      <c r="G78" s="48">
        <f t="shared" si="36"/>
        <v>0</v>
      </c>
      <c r="H78" s="48">
        <f t="shared" si="37"/>
        <v>0.11748789992858188</v>
      </c>
      <c r="I78" s="48">
        <f t="shared" si="29"/>
        <v>5</v>
      </c>
      <c r="J78" s="48">
        <f t="shared" si="30"/>
        <v>-5</v>
      </c>
      <c r="K78" s="48">
        <f t="shared" si="38"/>
        <v>-0.36241687464797573</v>
      </c>
      <c r="L78" s="48">
        <f>$B$5*SQRT(($B$4/(2-$B$4))*(1-(1-$B$4)^(2*68)))</f>
        <v>0.99999999999996692</v>
      </c>
      <c r="M78" s="48">
        <f t="shared" si="31"/>
        <v>-0.99999999999996692</v>
      </c>
      <c r="O78" s="53">
        <f>'Elektronik- Fonksiyon Hatası '!A69</f>
        <v>46140</v>
      </c>
      <c r="P78" s="48">
        <f>'Elektronik- Fonksiyon Hatası '!B69</f>
        <v>72</v>
      </c>
      <c r="Q78" s="48">
        <f>'Elektronik- Fonksiyon Hatası '!C69</f>
        <v>0</v>
      </c>
      <c r="R78" s="48">
        <f t="shared" si="32"/>
        <v>0</v>
      </c>
      <c r="S78" s="48">
        <f>SQRT('Elektronik- Fonksiyon Hatası '!$D$148*(1-'Elektronik- Fonksiyon Hatası '!$D$148)/P78)</f>
        <v>8.9417378251723714E-3</v>
      </c>
      <c r="T78" s="48">
        <f>(R78-'Elektronik- Fonksiyon Hatası '!$D$148)/S78</f>
        <v>-0.64755463556343207</v>
      </c>
      <c r="U78" s="48">
        <f t="shared" si="39"/>
        <v>0</v>
      </c>
      <c r="V78" s="48">
        <f t="shared" si="40"/>
        <v>0.14755463556343207</v>
      </c>
      <c r="W78" s="48">
        <f t="shared" si="33"/>
        <v>5</v>
      </c>
      <c r="X78" s="48">
        <f t="shared" si="34"/>
        <v>-5</v>
      </c>
      <c r="Y78" s="48">
        <f t="shared" si="41"/>
        <v>-0.38543209233444636</v>
      </c>
      <c r="Z78" s="48">
        <f>$B$5*SQRT(($B$4/(2-$B$4))*(1-(1-$B$4)^(2*68)))</f>
        <v>0.99999999999996692</v>
      </c>
      <c r="AA78" s="48">
        <f t="shared" si="35"/>
        <v>-0.99999999999996692</v>
      </c>
    </row>
    <row r="79" spans="1:27" x14ac:dyDescent="0.35">
      <c r="A79" s="53">
        <f>'Yazılım SW Hatası'!A70</f>
        <v>46141</v>
      </c>
      <c r="B79" s="48">
        <f>'Yazılım SW Hatası'!B70</f>
        <v>200</v>
      </c>
      <c r="C79" s="48">
        <f>'Yazılım SW Hatası'!C70</f>
        <v>2</v>
      </c>
      <c r="D79" s="48">
        <f t="shared" si="28"/>
        <v>0.01</v>
      </c>
      <c r="E79" s="48">
        <f>SQRT('Yazılım SW Hatası'!$D$148*(1-'Yazılım SW Hatası'!$D$148)/B79)</f>
        <v>5.0162654783156924E-3</v>
      </c>
      <c r="F79" s="48">
        <f>(D79-'Yazılım SW Hatası'!$D$148)/E79</f>
        <v>0.98516138719528534</v>
      </c>
      <c r="G79" s="48">
        <f t="shared" si="36"/>
        <v>0.48516138719528534</v>
      </c>
      <c r="H79" s="48">
        <f t="shared" si="37"/>
        <v>0</v>
      </c>
      <c r="I79" s="48">
        <f t="shared" si="29"/>
        <v>5</v>
      </c>
      <c r="J79" s="48">
        <f t="shared" si="30"/>
        <v>-5</v>
      </c>
      <c r="K79" s="48">
        <f t="shared" si="38"/>
        <v>-9.2901222279323542E-2</v>
      </c>
      <c r="L79" s="48">
        <f>$B$5*SQRT(($B$4/(2-$B$4))*(1-(1-$B$4)^(2*69)))</f>
        <v>0.99999999999997879</v>
      </c>
      <c r="M79" s="48">
        <f t="shared" si="31"/>
        <v>-0.99999999999997879</v>
      </c>
      <c r="O79" s="53">
        <f>'Elektronik- Fonksiyon Hatası '!A70</f>
        <v>46141</v>
      </c>
      <c r="P79" s="48">
        <f>'Elektronik- Fonksiyon Hatası '!B70</f>
        <v>9</v>
      </c>
      <c r="Q79" s="48">
        <f>'Elektronik- Fonksiyon Hatası '!C70</f>
        <v>0</v>
      </c>
      <c r="R79" s="48">
        <f t="shared" si="32"/>
        <v>0</v>
      </c>
      <c r="S79" s="48">
        <f>SQRT('Elektronik- Fonksiyon Hatası '!$D$148*(1-'Elektronik- Fonksiyon Hatası '!$D$148)/P79)</f>
        <v>2.5291053807086541E-2</v>
      </c>
      <c r="T79" s="48">
        <f>(R79-'Elektronik- Fonksiyon Hatası '!$D$148)/S79</f>
        <v>-0.22894513699784316</v>
      </c>
      <c r="U79" s="48">
        <f t="shared" si="39"/>
        <v>0</v>
      </c>
      <c r="V79" s="48">
        <f t="shared" si="40"/>
        <v>0</v>
      </c>
      <c r="W79" s="48">
        <f t="shared" si="33"/>
        <v>5</v>
      </c>
      <c r="X79" s="48">
        <f t="shared" si="34"/>
        <v>-5</v>
      </c>
      <c r="Y79" s="48">
        <f t="shared" si="41"/>
        <v>-0.35413470126712576</v>
      </c>
      <c r="Z79" s="48">
        <f>$B$5*SQRT(($B$4/(2-$B$4))*(1-(1-$B$4)^(2*69)))</f>
        <v>0.99999999999997879</v>
      </c>
      <c r="AA79" s="48">
        <f t="shared" si="35"/>
        <v>-0.99999999999997879</v>
      </c>
    </row>
    <row r="80" spans="1:27" x14ac:dyDescent="0.35">
      <c r="A80" s="53">
        <f>'Yazılım SW Hatası'!A71</f>
        <v>46142</v>
      </c>
      <c r="B80" s="48">
        <f>'Yazılım SW Hatası'!B71</f>
        <v>8</v>
      </c>
      <c r="C80" s="48">
        <f>'Yazılım SW Hatası'!C71</f>
        <v>0</v>
      </c>
      <c r="D80" s="48">
        <f t="shared" si="28"/>
        <v>0</v>
      </c>
      <c r="E80" s="48">
        <f>SQRT('Yazılım SW Hatası'!$D$148*(1-'Yazılım SW Hatası'!$D$148)/B80)</f>
        <v>2.5081327391578461E-2</v>
      </c>
      <c r="F80" s="48">
        <f>(D80-'Yazılım SW Hatası'!$D$148)/E80</f>
        <v>-0.20167070362237163</v>
      </c>
      <c r="G80" s="48">
        <f t="shared" si="36"/>
        <v>0</v>
      </c>
      <c r="H80" s="48">
        <f t="shared" si="37"/>
        <v>0</v>
      </c>
      <c r="I80" s="48">
        <f t="shared" si="29"/>
        <v>5</v>
      </c>
      <c r="J80" s="48">
        <f t="shared" si="30"/>
        <v>-5</v>
      </c>
      <c r="K80" s="48">
        <f t="shared" si="38"/>
        <v>-0.11465511854793317</v>
      </c>
      <c r="L80" s="48">
        <f>$B$5*SQRT(($B$4/(2-$B$4))*(1-(1-$B$4)^(2*70)))</f>
        <v>0.99999999999998646</v>
      </c>
      <c r="M80" s="48">
        <f t="shared" si="31"/>
        <v>-0.99999999999998646</v>
      </c>
      <c r="O80" s="53">
        <f>'Elektronik- Fonksiyon Hatası '!A71</f>
        <v>46142</v>
      </c>
      <c r="P80" s="48">
        <f>'Elektronik- Fonksiyon Hatası '!B71</f>
        <v>8</v>
      </c>
      <c r="Q80" s="48">
        <f>'Elektronik- Fonksiyon Hatası '!C71</f>
        <v>0</v>
      </c>
      <c r="R80" s="48">
        <f t="shared" si="32"/>
        <v>0</v>
      </c>
      <c r="S80" s="48">
        <f>SQRT('Elektronik- Fonksiyon Hatası '!$D$148*(1-'Elektronik- Fonksiyon Hatası '!$D$148)/P80)</f>
        <v>2.6825213475517112E-2</v>
      </c>
      <c r="T80" s="48">
        <f>(R80-'Elektronik- Fonksiyon Hatası '!$D$148)/S80</f>
        <v>-0.21585154518781072</v>
      </c>
      <c r="U80" s="48">
        <f t="shared" si="39"/>
        <v>0</v>
      </c>
      <c r="V80" s="48">
        <f t="shared" si="40"/>
        <v>0</v>
      </c>
      <c r="W80" s="48">
        <f t="shared" si="33"/>
        <v>5</v>
      </c>
      <c r="X80" s="48">
        <f t="shared" si="34"/>
        <v>-5</v>
      </c>
      <c r="Y80" s="48">
        <f t="shared" si="41"/>
        <v>-0.32647807005126278</v>
      </c>
      <c r="Z80" s="48">
        <f>$B$5*SQRT(($B$4/(2-$B$4))*(1-(1-$B$4)^(2*70)))</f>
        <v>0.99999999999998646</v>
      </c>
      <c r="AA80" s="48">
        <f t="shared" si="35"/>
        <v>-0.99999999999998646</v>
      </c>
    </row>
    <row r="81" spans="1:27" x14ac:dyDescent="0.35">
      <c r="A81" s="53">
        <f>'Yazılım SW Hatası'!A72</f>
        <v>46147</v>
      </c>
      <c r="B81" s="48">
        <f>'Yazılım SW Hatası'!B72</f>
        <v>1</v>
      </c>
      <c r="C81" s="48">
        <f>'Yazılım SW Hatası'!C72</f>
        <v>0</v>
      </c>
      <c r="D81" s="48">
        <f t="shared" si="28"/>
        <v>0</v>
      </c>
      <c r="E81" s="48">
        <f>SQRT('Yazılım SW Hatası'!$D$148*(1-'Yazılım SW Hatası'!$D$148)/B81)</f>
        <v>7.0940706718980132E-2</v>
      </c>
      <c r="F81" s="48">
        <f>(D81-'Yazılım SW Hatası'!$D$148)/E81</f>
        <v>-7.1301361049020698E-2</v>
      </c>
      <c r="G81" s="48">
        <f t="shared" si="36"/>
        <v>0</v>
      </c>
      <c r="H81" s="48">
        <f t="shared" si="37"/>
        <v>0</v>
      </c>
      <c r="I81" s="48">
        <f t="shared" si="29"/>
        <v>5</v>
      </c>
      <c r="J81" s="48">
        <f t="shared" si="30"/>
        <v>-5</v>
      </c>
      <c r="K81" s="48">
        <f t="shared" si="38"/>
        <v>-0.10598436704815067</v>
      </c>
      <c r="L81" s="48">
        <f>$B$5*SQRT(($B$4/(2-$B$4))*(1-(1-$B$4)^(2*71)))</f>
        <v>0.99999999999999134</v>
      </c>
      <c r="M81" s="48">
        <f t="shared" si="31"/>
        <v>-0.99999999999999134</v>
      </c>
      <c r="O81" s="53">
        <f>'Elektronik- Fonksiyon Hatası '!A72</f>
        <v>46147</v>
      </c>
      <c r="P81" s="48">
        <f>'Elektronik- Fonksiyon Hatası '!B72</f>
        <v>1</v>
      </c>
      <c r="Q81" s="48">
        <f>'Elektronik- Fonksiyon Hatası '!C72</f>
        <v>0</v>
      </c>
      <c r="R81" s="48">
        <f t="shared" si="32"/>
        <v>0</v>
      </c>
      <c r="S81" s="48">
        <f>SQRT('Elektronik- Fonksiyon Hatası '!$D$148*(1-'Elektronik- Fonksiyon Hatası '!$D$148)/P81)</f>
        <v>7.5873161421259619E-2</v>
      </c>
      <c r="T81" s="48">
        <f>(R81-'Elektronik- Fonksiyon Hatası '!$D$148)/S81</f>
        <v>-7.6315045665947726E-2</v>
      </c>
      <c r="U81" s="48">
        <f t="shared" si="39"/>
        <v>0</v>
      </c>
      <c r="V81" s="48">
        <f t="shared" si="40"/>
        <v>0</v>
      </c>
      <c r="W81" s="48">
        <f t="shared" si="33"/>
        <v>5</v>
      </c>
      <c r="X81" s="48">
        <f t="shared" si="34"/>
        <v>-5</v>
      </c>
      <c r="Y81" s="48">
        <f t="shared" si="41"/>
        <v>-0.27644546517419982</v>
      </c>
      <c r="Z81" s="48">
        <f>$B$5*SQRT(($B$4/(2-$B$4))*(1-(1-$B$4)^(2*71)))</f>
        <v>0.99999999999999134</v>
      </c>
      <c r="AA81" s="48">
        <f t="shared" si="35"/>
        <v>-0.99999999999999134</v>
      </c>
    </row>
    <row r="82" spans="1:27" x14ac:dyDescent="0.35">
      <c r="A82" s="53">
        <f>'Yazılım SW Hatası'!A73</f>
        <v>46148</v>
      </c>
      <c r="B82" s="48">
        <f>'Yazılım SW Hatası'!B73</f>
        <v>5</v>
      </c>
      <c r="C82" s="48">
        <f>'Yazılım SW Hatası'!C73</f>
        <v>0</v>
      </c>
      <c r="D82" s="48">
        <f t="shared" si="28"/>
        <v>0</v>
      </c>
      <c r="E82" s="48">
        <f>SQRT('Yazılım SW Hatası'!$D$148*(1-'Yazılım SW Hatası'!$D$148)/B82)</f>
        <v>3.1725648519103131E-2</v>
      </c>
      <c r="F82" s="48">
        <f>(D82-'Yazılım SW Hatası'!$D$148)/E82</f>
        <v>-0.159434690193866</v>
      </c>
      <c r="G82" s="48">
        <f t="shared" si="36"/>
        <v>0</v>
      </c>
      <c r="H82" s="48">
        <f t="shared" si="37"/>
        <v>0</v>
      </c>
      <c r="I82" s="48">
        <f t="shared" si="29"/>
        <v>5</v>
      </c>
      <c r="J82" s="48">
        <f t="shared" si="30"/>
        <v>-5</v>
      </c>
      <c r="K82" s="48">
        <f t="shared" si="38"/>
        <v>-0.11667443167729374</v>
      </c>
      <c r="L82" s="48">
        <f>$B$5*SQRT(($B$4/(2-$B$4))*(1-(1-$B$4)^(2*72)))</f>
        <v>0.99999999999999445</v>
      </c>
      <c r="M82" s="48">
        <f t="shared" si="31"/>
        <v>-0.99999999999999445</v>
      </c>
      <c r="O82" s="53">
        <f>'Elektronik- Fonksiyon Hatası '!A73</f>
        <v>46148</v>
      </c>
      <c r="P82" s="48">
        <f>'Elektronik- Fonksiyon Hatası '!B73</f>
        <v>5</v>
      </c>
      <c r="Q82" s="48">
        <f>'Elektronik- Fonksiyon Hatası '!C73</f>
        <v>0</v>
      </c>
      <c r="R82" s="48">
        <f t="shared" si="32"/>
        <v>0</v>
      </c>
      <c r="S82" s="48">
        <f>SQRT('Elektronik- Fonksiyon Hatası '!$D$148*(1-'Elektronik- Fonksiyon Hatası '!$D$148)/P82)</f>
        <v>3.3931509321150216E-2</v>
      </c>
      <c r="T82" s="48">
        <f>(R82-'Elektronik- Fonksiyon Hatası '!$D$148)/S82</f>
        <v>-0.17064562981505982</v>
      </c>
      <c r="U82" s="48">
        <f t="shared" si="39"/>
        <v>0</v>
      </c>
      <c r="V82" s="48">
        <f t="shared" si="40"/>
        <v>0</v>
      </c>
      <c r="W82" s="48">
        <f t="shared" si="33"/>
        <v>5</v>
      </c>
      <c r="X82" s="48">
        <f t="shared" si="34"/>
        <v>-5</v>
      </c>
      <c r="Y82" s="48">
        <f t="shared" si="41"/>
        <v>-0.25528549810237183</v>
      </c>
      <c r="Z82" s="48">
        <f>$B$5*SQRT(($B$4/(2-$B$4))*(1-(1-$B$4)^(2*72)))</f>
        <v>0.99999999999999445</v>
      </c>
      <c r="AA82" s="48">
        <f t="shared" si="35"/>
        <v>-0.99999999999999445</v>
      </c>
    </row>
    <row r="83" spans="1:27" x14ac:dyDescent="0.35">
      <c r="A83" s="53">
        <f>'Yazılım SW Hatası'!A74</f>
        <v>46149</v>
      </c>
      <c r="B83" s="48">
        <f>'Yazılım SW Hatası'!B74</f>
        <v>6</v>
      </c>
      <c r="C83" s="48">
        <f>'Yazılım SW Hatası'!C74</f>
        <v>0</v>
      </c>
      <c r="D83" s="48">
        <f t="shared" si="28"/>
        <v>0</v>
      </c>
      <c r="E83" s="48">
        <f>SQRT('Yazılım SW Hatası'!$D$148*(1-'Yazılım SW Hatası'!$D$148)/B83)</f>
        <v>2.896142224232192E-2</v>
      </c>
      <c r="F83" s="48">
        <f>(D83-'Yazılım SW Hatası'!$D$148)/E83</f>
        <v>-0.17465195253605623</v>
      </c>
      <c r="G83" s="48">
        <f t="shared" si="36"/>
        <v>0</v>
      </c>
      <c r="H83" s="48">
        <f t="shared" si="37"/>
        <v>0</v>
      </c>
      <c r="I83" s="48">
        <f t="shared" si="29"/>
        <v>5</v>
      </c>
      <c r="J83" s="48">
        <f t="shared" si="30"/>
        <v>-5</v>
      </c>
      <c r="K83" s="48">
        <f t="shared" si="38"/>
        <v>-0.12826993584904625</v>
      </c>
      <c r="L83" s="48">
        <f>$B$5*SQRT(($B$4/(2-$B$4))*(1-(1-$B$4)^(2*73)))</f>
        <v>0.99999999999999645</v>
      </c>
      <c r="M83" s="48">
        <f t="shared" si="31"/>
        <v>-0.99999999999999645</v>
      </c>
      <c r="O83" s="53">
        <f>'Elektronik- Fonksiyon Hatası '!A74</f>
        <v>46149</v>
      </c>
      <c r="P83" s="48">
        <f>'Elektronik- Fonksiyon Hatası '!B74</f>
        <v>6</v>
      </c>
      <c r="Q83" s="48">
        <f>'Elektronik- Fonksiyon Hatası '!C74</f>
        <v>0</v>
      </c>
      <c r="R83" s="48">
        <f t="shared" si="32"/>
        <v>0</v>
      </c>
      <c r="S83" s="48">
        <f>SQRT('Elektronik- Fonksiyon Hatası '!$D$148*(1-'Elektronik- Fonksiyon Hatası '!$D$148)/P83)</f>
        <v>3.0975088442317965E-2</v>
      </c>
      <c r="T83" s="48">
        <f>(R83-'Elektronik- Fonksiyon Hatası '!$D$148)/S83</f>
        <v>-0.18693292157876878</v>
      </c>
      <c r="U83" s="48">
        <f t="shared" si="39"/>
        <v>0</v>
      </c>
      <c r="V83" s="48">
        <f t="shared" si="40"/>
        <v>0</v>
      </c>
      <c r="W83" s="48">
        <f t="shared" si="33"/>
        <v>5</v>
      </c>
      <c r="X83" s="48">
        <f t="shared" si="34"/>
        <v>-5</v>
      </c>
      <c r="Y83" s="48">
        <f t="shared" si="41"/>
        <v>-0.24161498279765123</v>
      </c>
      <c r="Z83" s="48">
        <f>$B$5*SQRT(($B$4/(2-$B$4))*(1-(1-$B$4)^(2*73)))</f>
        <v>0.99999999999999645</v>
      </c>
      <c r="AA83" s="48">
        <f t="shared" si="35"/>
        <v>-0.99999999999999645</v>
      </c>
    </row>
    <row r="84" spans="1:27" x14ac:dyDescent="0.35">
      <c r="A84" s="53">
        <f>'Yazılım SW Hatası'!A75</f>
        <v>46150</v>
      </c>
      <c r="B84" s="48">
        <f>'Yazılım SW Hatası'!B75</f>
        <v>2</v>
      </c>
      <c r="C84" s="48">
        <f>'Yazılım SW Hatası'!C75</f>
        <v>0</v>
      </c>
      <c r="D84" s="48">
        <f t="shared" si="28"/>
        <v>0</v>
      </c>
      <c r="E84" s="48">
        <f>SQRT('Yazılım SW Hatası'!$D$148*(1-'Yazılım SW Hatası'!$D$148)/B84)</f>
        <v>5.0162654783156922E-2</v>
      </c>
      <c r="F84" s="48">
        <f>(D84-'Yazılım SW Hatası'!$D$148)/E84</f>
        <v>-0.10083535181118582</v>
      </c>
      <c r="G84" s="48">
        <f t="shared" si="36"/>
        <v>0</v>
      </c>
      <c r="H84" s="48">
        <f t="shared" si="37"/>
        <v>0</v>
      </c>
      <c r="I84" s="48">
        <f t="shared" si="29"/>
        <v>5</v>
      </c>
      <c r="J84" s="48">
        <f t="shared" si="30"/>
        <v>-5</v>
      </c>
      <c r="K84" s="48">
        <f t="shared" si="38"/>
        <v>-0.12278301904147418</v>
      </c>
      <c r="L84" s="48">
        <f>$B$5*SQRT(($B$4/(2-$B$4))*(1-(1-$B$4)^(2*74)))</f>
        <v>0.99999999999999778</v>
      </c>
      <c r="M84" s="48">
        <f t="shared" si="31"/>
        <v>-0.99999999999999778</v>
      </c>
      <c r="O84" s="53">
        <f>'Elektronik- Fonksiyon Hatası '!A75</f>
        <v>46150</v>
      </c>
      <c r="P84" s="48">
        <f>'Elektronik- Fonksiyon Hatası '!B75</f>
        <v>2</v>
      </c>
      <c r="Q84" s="48">
        <f>'Elektronik- Fonksiyon Hatası '!C75</f>
        <v>0</v>
      </c>
      <c r="R84" s="48">
        <f t="shared" si="32"/>
        <v>0</v>
      </c>
      <c r="S84" s="48">
        <f>SQRT('Elektronik- Fonksiyon Hatası '!$D$148*(1-'Elektronik- Fonksiyon Hatası '!$D$148)/P84)</f>
        <v>5.3650426951034225E-2</v>
      </c>
      <c r="T84" s="48">
        <f>(R84-'Elektronik- Fonksiyon Hatası '!$D$148)/S84</f>
        <v>-0.10792577259390536</v>
      </c>
      <c r="U84" s="48">
        <f t="shared" si="39"/>
        <v>0</v>
      </c>
      <c r="V84" s="48">
        <f t="shared" si="40"/>
        <v>0</v>
      </c>
      <c r="W84" s="48">
        <f t="shared" si="33"/>
        <v>5</v>
      </c>
      <c r="X84" s="48">
        <f t="shared" si="34"/>
        <v>-5</v>
      </c>
      <c r="Y84" s="48">
        <f t="shared" si="41"/>
        <v>-0.21487714075690206</v>
      </c>
      <c r="Z84" s="48">
        <f>$B$5*SQRT(($B$4/(2-$B$4))*(1-(1-$B$4)^(2*74)))</f>
        <v>0.99999999999999778</v>
      </c>
      <c r="AA84" s="48">
        <f t="shared" si="35"/>
        <v>-0.99999999999999778</v>
      </c>
    </row>
    <row r="85" spans="1:27" x14ac:dyDescent="0.35">
      <c r="A85" s="53">
        <f>'Yazılım SW Hatası'!A76</f>
        <v>46153</v>
      </c>
      <c r="B85" s="48">
        <f>'Yazılım SW Hatası'!B76</f>
        <v>1</v>
      </c>
      <c r="C85" s="48">
        <f>'Yazılım SW Hatası'!C76</f>
        <v>0</v>
      </c>
      <c r="D85" s="48">
        <f t="shared" si="28"/>
        <v>0</v>
      </c>
      <c r="E85" s="48">
        <f>SQRT('Yazılım SW Hatası'!$D$148*(1-'Yazılım SW Hatası'!$D$148)/B85)</f>
        <v>7.0940706718980132E-2</v>
      </c>
      <c r="F85" s="48">
        <f>(D85-'Yazılım SW Hatası'!$D$148)/E85</f>
        <v>-7.1301361049020698E-2</v>
      </c>
      <c r="G85" s="48">
        <f t="shared" si="36"/>
        <v>0</v>
      </c>
      <c r="H85" s="48">
        <f t="shared" si="37"/>
        <v>0</v>
      </c>
      <c r="I85" s="48">
        <f t="shared" si="29"/>
        <v>5</v>
      </c>
      <c r="J85" s="48">
        <f t="shared" si="30"/>
        <v>-5</v>
      </c>
      <c r="K85" s="48">
        <f t="shared" si="38"/>
        <v>-0.11248668744298349</v>
      </c>
      <c r="L85" s="48">
        <f>$B$5*SQRT(($B$4/(2-$B$4))*(1-(1-$B$4)^(2*75)))</f>
        <v>0.99999999999999867</v>
      </c>
      <c r="M85" s="48">
        <f t="shared" si="31"/>
        <v>-0.99999999999999867</v>
      </c>
      <c r="O85" s="53">
        <f>'Elektronik- Fonksiyon Hatası '!A76</f>
        <v>46153</v>
      </c>
      <c r="P85" s="48">
        <f>'Elektronik- Fonksiyon Hatası '!B76</f>
        <v>1</v>
      </c>
      <c r="Q85" s="48">
        <f>'Elektronik- Fonksiyon Hatası '!C76</f>
        <v>0</v>
      </c>
      <c r="R85" s="48">
        <f t="shared" si="32"/>
        <v>0</v>
      </c>
      <c r="S85" s="48">
        <f>SQRT('Elektronik- Fonksiyon Hatası '!$D$148*(1-'Elektronik- Fonksiyon Hatası '!$D$148)/P85)</f>
        <v>7.5873161421259619E-2</v>
      </c>
      <c r="T85" s="48">
        <f>(R85-'Elektronik- Fonksiyon Hatası '!$D$148)/S85</f>
        <v>-7.6315045665947726E-2</v>
      </c>
      <c r="U85" s="48">
        <f t="shared" si="39"/>
        <v>0</v>
      </c>
      <c r="V85" s="48">
        <f t="shared" si="40"/>
        <v>0</v>
      </c>
      <c r="W85" s="48">
        <f t="shared" si="33"/>
        <v>5</v>
      </c>
      <c r="X85" s="48">
        <f t="shared" si="34"/>
        <v>-5</v>
      </c>
      <c r="Y85" s="48">
        <f t="shared" si="41"/>
        <v>-0.18716472173871121</v>
      </c>
      <c r="Z85" s="48">
        <f>$B$5*SQRT(($B$4/(2-$B$4))*(1-(1-$B$4)^(2*75)))</f>
        <v>0.99999999999999867</v>
      </c>
      <c r="AA85" s="48">
        <f t="shared" si="35"/>
        <v>-0.99999999999999867</v>
      </c>
    </row>
    <row r="86" spans="1:27" x14ac:dyDescent="0.35">
      <c r="A86" s="53">
        <f>'Yazılım SW Hatası'!A77</f>
        <v>46156</v>
      </c>
      <c r="B86" s="48">
        <f>'Yazılım SW Hatası'!B77</f>
        <v>70</v>
      </c>
      <c r="C86" s="48">
        <f>'Yazılım SW Hatası'!C77</f>
        <v>0</v>
      </c>
      <c r="D86" s="48">
        <f t="shared" si="28"/>
        <v>0</v>
      </c>
      <c r="E86" s="48">
        <f>SQRT('Yazılım SW Hatası'!$D$148*(1-'Yazılım SW Hatası'!$D$148)/B86)</f>
        <v>8.4790362236925702E-3</v>
      </c>
      <c r="F86" s="48">
        <f>(D86-'Yazılım SW Hatası'!$D$148)/E86</f>
        <v>-0.5965499862718936</v>
      </c>
      <c r="G86" s="48">
        <f t="shared" si="36"/>
        <v>0</v>
      </c>
      <c r="H86" s="48">
        <f t="shared" si="37"/>
        <v>9.6549986271893595E-2</v>
      </c>
      <c r="I86" s="48">
        <f t="shared" si="29"/>
        <v>5</v>
      </c>
      <c r="J86" s="48">
        <f t="shared" si="30"/>
        <v>-5</v>
      </c>
      <c r="K86" s="48">
        <f t="shared" si="38"/>
        <v>-0.20929934720876553</v>
      </c>
      <c r="L86" s="48">
        <f>$B$5*SQRT(($B$4/(2-$B$4))*(1-(1-$B$4)^(2*76)))</f>
        <v>0.99999999999999911</v>
      </c>
      <c r="M86" s="48">
        <f t="shared" si="31"/>
        <v>-0.99999999999999911</v>
      </c>
      <c r="O86" s="53">
        <f>'Elektronik- Fonksiyon Hatası '!A77</f>
        <v>46156</v>
      </c>
      <c r="P86" s="48">
        <f>'Elektronik- Fonksiyon Hatası '!B77</f>
        <v>70</v>
      </c>
      <c r="Q86" s="48">
        <f>'Elektronik- Fonksiyon Hatası '!C77</f>
        <v>0</v>
      </c>
      <c r="R86" s="48">
        <f t="shared" si="32"/>
        <v>0</v>
      </c>
      <c r="S86" s="48">
        <f>SQRT('Elektronik- Fonksiyon Hatası '!$D$148*(1-'Elektronik- Fonksiyon Hatası '!$D$148)/P86)</f>
        <v>9.0685773211336106E-3</v>
      </c>
      <c r="T86" s="48">
        <f>(R86-'Elektronik- Fonksiyon Hatası '!$D$148)/S86</f>
        <v>-0.63849748131821005</v>
      </c>
      <c r="U86" s="48">
        <f t="shared" si="39"/>
        <v>0</v>
      </c>
      <c r="V86" s="48">
        <f t="shared" si="40"/>
        <v>0.13849748131821005</v>
      </c>
      <c r="W86" s="48">
        <f t="shared" si="33"/>
        <v>5</v>
      </c>
      <c r="X86" s="48">
        <f t="shared" si="34"/>
        <v>-5</v>
      </c>
      <c r="Y86" s="48">
        <f t="shared" si="41"/>
        <v>-0.27743127365461095</v>
      </c>
      <c r="Z86" s="48">
        <f>$B$5*SQRT(($B$4/(2-$B$4))*(1-(1-$B$4)^(2*76)))</f>
        <v>0.99999999999999911</v>
      </c>
      <c r="AA86" s="48">
        <f t="shared" si="35"/>
        <v>-0.99999999999999911</v>
      </c>
    </row>
    <row r="87" spans="1:27" x14ac:dyDescent="0.35">
      <c r="A87" s="53">
        <f>'Yazılım SW Hatası'!A78</f>
        <v>46160</v>
      </c>
      <c r="B87" s="48">
        <f>'Yazılım SW Hatası'!B78</f>
        <v>3</v>
      </c>
      <c r="C87" s="48">
        <f>'Yazılım SW Hatası'!C78</f>
        <v>0</v>
      </c>
      <c r="D87" s="48">
        <f t="shared" si="28"/>
        <v>0</v>
      </c>
      <c r="E87" s="48">
        <f>SQRT('Yazılım SW Hatası'!$D$148*(1-'Yazılım SW Hatası'!$D$148)/B87)</f>
        <v>4.0957636120705472E-2</v>
      </c>
      <c r="F87" s="48">
        <f>(D87-'Yazılım SW Hatası'!$D$148)/E87</f>
        <v>-0.12349757998571639</v>
      </c>
      <c r="G87" s="48">
        <f t="shared" si="36"/>
        <v>0</v>
      </c>
      <c r="H87" s="48">
        <f t="shared" si="37"/>
        <v>0</v>
      </c>
      <c r="I87" s="48">
        <f t="shared" si="29"/>
        <v>5</v>
      </c>
      <c r="J87" s="48">
        <f t="shared" si="30"/>
        <v>-5</v>
      </c>
      <c r="K87" s="48">
        <f t="shared" si="38"/>
        <v>-0.19213899376415572</v>
      </c>
      <c r="L87" s="48">
        <f>$B$5*SQRT(($B$4/(2-$B$4))*(1-(1-$B$4)^(2*77)))</f>
        <v>0.99999999999999944</v>
      </c>
      <c r="M87" s="48">
        <f t="shared" si="31"/>
        <v>-0.99999999999999944</v>
      </c>
      <c r="O87" s="53">
        <f>'Elektronik- Fonksiyon Hatası '!A78</f>
        <v>46160</v>
      </c>
      <c r="P87" s="48">
        <f>'Elektronik- Fonksiyon Hatası '!B78</f>
        <v>3</v>
      </c>
      <c r="Q87" s="48">
        <f>'Elektronik- Fonksiyon Hatası '!C78</f>
        <v>0</v>
      </c>
      <c r="R87" s="48">
        <f t="shared" si="32"/>
        <v>0</v>
      </c>
      <c r="S87" s="48">
        <f>SQRT('Elektronik- Fonksiyon Hatası '!$D$148*(1-'Elektronik- Fonksiyon Hatası '!$D$148)/P87)</f>
        <v>4.3805390170832174E-2</v>
      </c>
      <c r="T87" s="48">
        <f>(R87-'Elektronik- Fonksiyon Hatası '!$D$148)/S87</f>
        <v>-0.13218153647536049</v>
      </c>
      <c r="U87" s="48">
        <f t="shared" si="39"/>
        <v>0</v>
      </c>
      <c r="V87" s="48">
        <f t="shared" si="40"/>
        <v>0</v>
      </c>
      <c r="W87" s="48">
        <f t="shared" si="33"/>
        <v>5</v>
      </c>
      <c r="X87" s="48">
        <f t="shared" si="34"/>
        <v>-5</v>
      </c>
      <c r="Y87" s="48">
        <f t="shared" si="41"/>
        <v>-0.24838132621876088</v>
      </c>
      <c r="Z87" s="48">
        <f>$B$5*SQRT(($B$4/(2-$B$4))*(1-(1-$B$4)^(2*77)))</f>
        <v>0.99999999999999944</v>
      </c>
      <c r="AA87" s="48">
        <f t="shared" si="35"/>
        <v>-0.99999999999999944</v>
      </c>
    </row>
    <row r="88" spans="1:27" x14ac:dyDescent="0.35">
      <c r="A88" s="53">
        <f>'Yazılım SW Hatası'!A79</f>
        <v>46163</v>
      </c>
      <c r="B88" s="48">
        <f>'Yazılım SW Hatası'!B79</f>
        <v>2</v>
      </c>
      <c r="C88" s="48">
        <f>'Yazılım SW Hatası'!C79</f>
        <v>0</v>
      </c>
      <c r="D88" s="48">
        <f t="shared" si="28"/>
        <v>0</v>
      </c>
      <c r="E88" s="48">
        <f>SQRT('Yazılım SW Hatası'!$D$148*(1-'Yazılım SW Hatası'!$D$148)/B88)</f>
        <v>5.0162654783156922E-2</v>
      </c>
      <c r="F88" s="48">
        <f>(D88-'Yazılım SW Hatası'!$D$148)/E88</f>
        <v>-0.10083535181118582</v>
      </c>
      <c r="G88" s="48">
        <f t="shared" si="36"/>
        <v>0</v>
      </c>
      <c r="H88" s="48">
        <f t="shared" si="37"/>
        <v>0</v>
      </c>
      <c r="I88" s="48">
        <f t="shared" si="29"/>
        <v>5</v>
      </c>
      <c r="J88" s="48">
        <f t="shared" si="30"/>
        <v>-5</v>
      </c>
      <c r="K88" s="48">
        <f t="shared" si="38"/>
        <v>-0.17387826537356174</v>
      </c>
      <c r="L88" s="48">
        <f>$B$5*SQRT(($B$4/(2-$B$4))*(1-(1-$B$4)^(2*78)))</f>
        <v>0.99999999999999956</v>
      </c>
      <c r="M88" s="48">
        <f t="shared" si="31"/>
        <v>-0.99999999999999956</v>
      </c>
      <c r="O88" s="53">
        <f>'Elektronik- Fonksiyon Hatası '!A79</f>
        <v>46163</v>
      </c>
      <c r="P88" s="48">
        <f>'Elektronik- Fonksiyon Hatası '!B79</f>
        <v>100</v>
      </c>
      <c r="Q88" s="48">
        <f>'Elektronik- Fonksiyon Hatası '!C79</f>
        <v>2</v>
      </c>
      <c r="R88" s="48">
        <f t="shared" si="32"/>
        <v>0.02</v>
      </c>
      <c r="S88" s="48">
        <f>SQRT('Elektronik- Fonksiyon Hatası '!$D$148*(1-'Elektronik- Fonksiyon Hatası '!$D$148)/P88)</f>
        <v>7.5873161421259622E-3</v>
      </c>
      <c r="T88" s="48">
        <f>(R88-'Elektronik- Fonksiyon Hatası '!$D$148)/S88</f>
        <v>1.8728277503058135</v>
      </c>
      <c r="U88" s="48">
        <f t="shared" si="39"/>
        <v>1.3728277503058135</v>
      </c>
      <c r="V88" s="48">
        <f t="shared" si="40"/>
        <v>0</v>
      </c>
      <c r="W88" s="48">
        <f t="shared" si="33"/>
        <v>5</v>
      </c>
      <c r="X88" s="48">
        <f t="shared" si="34"/>
        <v>-5</v>
      </c>
      <c r="Y88" s="48">
        <f t="shared" si="41"/>
        <v>0.17586048908615398</v>
      </c>
      <c r="Z88" s="48">
        <f>$B$5*SQRT(($B$4/(2-$B$4))*(1-(1-$B$4)^(2*78)))</f>
        <v>0.99999999999999956</v>
      </c>
      <c r="AA88" s="48">
        <f t="shared" si="35"/>
        <v>-0.99999999999999956</v>
      </c>
    </row>
    <row r="89" spans="1:27" x14ac:dyDescent="0.35">
      <c r="A89" s="53">
        <f>'Yazılım SW Hatası'!A80</f>
        <v>46176</v>
      </c>
      <c r="B89" s="48">
        <f>'Yazılım SW Hatası'!B80</f>
        <v>8</v>
      </c>
      <c r="C89" s="48">
        <f>'Yazılım SW Hatası'!C80</f>
        <v>0</v>
      </c>
      <c r="D89" s="48">
        <f t="shared" si="28"/>
        <v>0</v>
      </c>
      <c r="E89" s="48">
        <f>SQRT('Yazılım SW Hatası'!$D$148*(1-'Yazılım SW Hatası'!$D$148)/B89)</f>
        <v>2.5081327391578461E-2</v>
      </c>
      <c r="F89" s="48">
        <f>(D89-'Yazılım SW Hatası'!$D$148)/E89</f>
        <v>-0.20167070362237163</v>
      </c>
      <c r="G89" s="48">
        <f t="shared" si="36"/>
        <v>0</v>
      </c>
      <c r="H89" s="48">
        <f t="shared" si="37"/>
        <v>0</v>
      </c>
      <c r="I89" s="48">
        <f t="shared" si="29"/>
        <v>5</v>
      </c>
      <c r="J89" s="48">
        <f t="shared" si="30"/>
        <v>-5</v>
      </c>
      <c r="K89" s="48">
        <f t="shared" si="38"/>
        <v>-0.17943675302332374</v>
      </c>
      <c r="L89" s="48">
        <f>$B$5*SQRT(($B$4/(2-$B$4))*(1-(1-$B$4)^(2*79)))</f>
        <v>0.99999999999999978</v>
      </c>
      <c r="M89" s="48">
        <f t="shared" si="31"/>
        <v>-0.99999999999999978</v>
      </c>
      <c r="O89" s="53">
        <f>'Elektronik- Fonksiyon Hatası '!A80</f>
        <v>46176</v>
      </c>
      <c r="P89" s="48">
        <f>'Elektronik- Fonksiyon Hatası '!B80</f>
        <v>8</v>
      </c>
      <c r="Q89" s="48">
        <f>'Elektronik- Fonksiyon Hatası '!C80</f>
        <v>0</v>
      </c>
      <c r="R89" s="48">
        <f t="shared" si="32"/>
        <v>0</v>
      </c>
      <c r="S89" s="48">
        <f>SQRT('Elektronik- Fonksiyon Hatası '!$D$148*(1-'Elektronik- Fonksiyon Hatası '!$D$148)/P89)</f>
        <v>2.6825213475517112E-2</v>
      </c>
      <c r="T89" s="48">
        <f>(R89-'Elektronik- Fonksiyon Hatası '!$D$148)/S89</f>
        <v>-0.21585154518781072</v>
      </c>
      <c r="U89" s="48">
        <f t="shared" si="39"/>
        <v>0.65697620511800281</v>
      </c>
      <c r="V89" s="48">
        <f t="shared" si="40"/>
        <v>0</v>
      </c>
      <c r="W89" s="48">
        <f t="shared" si="33"/>
        <v>5</v>
      </c>
      <c r="X89" s="48">
        <f t="shared" si="34"/>
        <v>-5</v>
      </c>
      <c r="Y89" s="48">
        <f t="shared" si="41"/>
        <v>9.7518082231361047E-2</v>
      </c>
      <c r="Z89" s="48">
        <f>$B$5*SQRT(($B$4/(2-$B$4))*(1-(1-$B$4)^(2*79)))</f>
        <v>0.99999999999999978</v>
      </c>
      <c r="AA89" s="48">
        <f t="shared" si="35"/>
        <v>-0.99999999999999978</v>
      </c>
    </row>
    <row r="90" spans="1:27" x14ac:dyDescent="0.35">
      <c r="A90" s="53">
        <f>'Yazılım SW Hatası'!A81</f>
        <v>46177</v>
      </c>
      <c r="B90" s="48">
        <f>'Yazılım SW Hatası'!B81</f>
        <v>18</v>
      </c>
      <c r="C90" s="48">
        <f>'Yazılım SW Hatası'!C81</f>
        <v>0</v>
      </c>
      <c r="D90" s="48">
        <f t="shared" si="28"/>
        <v>0</v>
      </c>
      <c r="E90" s="48">
        <f>SQRT('Yazılım SW Hatası'!$D$148*(1-'Yazılım SW Hatası'!$D$148)/B90)</f>
        <v>1.6720884927718976E-2</v>
      </c>
      <c r="F90" s="48">
        <f>(D90-'Yazılım SW Hatası'!$D$148)/E90</f>
        <v>-0.30250605543355741</v>
      </c>
      <c r="G90" s="48">
        <f t="shared" si="36"/>
        <v>0</v>
      </c>
      <c r="H90" s="48">
        <f t="shared" si="37"/>
        <v>0</v>
      </c>
      <c r="I90" s="48">
        <f t="shared" si="29"/>
        <v>5</v>
      </c>
      <c r="J90" s="48">
        <f t="shared" si="30"/>
        <v>-5</v>
      </c>
      <c r="K90" s="48">
        <f t="shared" si="38"/>
        <v>-0.20405061350537046</v>
      </c>
      <c r="L90" s="48">
        <f>$B$5*SQRT(($B$4/(2-$B$4))*(1-(1-$B$4)^(2*80)))</f>
        <v>0.99999999999999978</v>
      </c>
      <c r="M90" s="48">
        <f t="shared" si="31"/>
        <v>-0.99999999999999978</v>
      </c>
      <c r="O90" s="53">
        <f>'Elektronik- Fonksiyon Hatası '!A81</f>
        <v>46177</v>
      </c>
      <c r="P90" s="48">
        <f>'Elektronik- Fonksiyon Hatası '!B81</f>
        <v>18</v>
      </c>
      <c r="Q90" s="48">
        <f>'Elektronik- Fonksiyon Hatası '!C81</f>
        <v>0</v>
      </c>
      <c r="R90" s="48">
        <f t="shared" si="32"/>
        <v>0</v>
      </c>
      <c r="S90" s="48">
        <f>SQRT('Elektronik- Fonksiyon Hatası '!$D$148*(1-'Elektronik- Fonksiyon Hatası '!$D$148)/P90)</f>
        <v>1.7883475650344743E-2</v>
      </c>
      <c r="T90" s="48">
        <f>(R90-'Elektronik- Fonksiyon Hatası '!$D$148)/S90</f>
        <v>-0.32377731778171603</v>
      </c>
      <c r="U90" s="48">
        <f t="shared" si="39"/>
        <v>0</v>
      </c>
      <c r="V90" s="48">
        <f t="shared" si="40"/>
        <v>0</v>
      </c>
      <c r="W90" s="48">
        <f t="shared" si="33"/>
        <v>5</v>
      </c>
      <c r="X90" s="48">
        <f t="shared" si="34"/>
        <v>-5</v>
      </c>
      <c r="Y90" s="48">
        <f t="shared" si="41"/>
        <v>1.3259002228745639E-2</v>
      </c>
      <c r="Z90" s="48">
        <f>$B$5*SQRT(($B$4/(2-$B$4))*(1-(1-$B$4)^(2*80)))</f>
        <v>0.99999999999999978</v>
      </c>
      <c r="AA90" s="48">
        <f t="shared" si="35"/>
        <v>-0.99999999999999978</v>
      </c>
    </row>
    <row r="91" spans="1:27" x14ac:dyDescent="0.35">
      <c r="A91" s="53">
        <f>'Yazılım SW Hatası'!A82</f>
        <v>46178</v>
      </c>
      <c r="B91" s="48">
        <f>'Yazılım SW Hatası'!B82</f>
        <v>6</v>
      </c>
      <c r="C91" s="48">
        <f>'Yazılım SW Hatası'!C82</f>
        <v>0</v>
      </c>
      <c r="D91" s="48">
        <f t="shared" si="28"/>
        <v>0</v>
      </c>
      <c r="E91" s="48">
        <f>SQRT('Yazılım SW Hatası'!$D$148*(1-'Yazılım SW Hatası'!$D$148)/B91)</f>
        <v>2.896142224232192E-2</v>
      </c>
      <c r="F91" s="48">
        <f>(D91-'Yazılım SW Hatası'!$D$148)/E91</f>
        <v>-0.17465195253605623</v>
      </c>
      <c r="G91" s="48">
        <f t="shared" si="36"/>
        <v>0</v>
      </c>
      <c r="H91" s="48">
        <f t="shared" si="37"/>
        <v>0</v>
      </c>
      <c r="I91" s="48">
        <f t="shared" si="29"/>
        <v>5</v>
      </c>
      <c r="J91" s="48">
        <f t="shared" si="30"/>
        <v>-5</v>
      </c>
      <c r="K91" s="48">
        <f t="shared" si="38"/>
        <v>-0.19817088131150762</v>
      </c>
      <c r="L91" s="48">
        <f>$B$5*SQRT(($B$4/(2-$B$4))*(1-(1-$B$4)^(2*81)))</f>
        <v>1</v>
      </c>
      <c r="M91" s="48">
        <f t="shared" si="31"/>
        <v>-1</v>
      </c>
      <c r="O91" s="53">
        <f>'Elektronik- Fonksiyon Hatası '!A82</f>
        <v>46178</v>
      </c>
      <c r="P91" s="48">
        <f>'Elektronik- Fonksiyon Hatası '!B82</f>
        <v>6</v>
      </c>
      <c r="Q91" s="48">
        <f>'Elektronik- Fonksiyon Hatası '!C82</f>
        <v>0</v>
      </c>
      <c r="R91" s="48">
        <f t="shared" si="32"/>
        <v>0</v>
      </c>
      <c r="S91" s="48">
        <f>SQRT('Elektronik- Fonksiyon Hatası '!$D$148*(1-'Elektronik- Fonksiyon Hatası '!$D$148)/P91)</f>
        <v>3.0975088442317965E-2</v>
      </c>
      <c r="T91" s="48">
        <f>(R91-'Elektronik- Fonksiyon Hatası '!$D$148)/S91</f>
        <v>-0.18693292157876878</v>
      </c>
      <c r="U91" s="48">
        <f t="shared" si="39"/>
        <v>0</v>
      </c>
      <c r="V91" s="48">
        <f t="shared" si="40"/>
        <v>0</v>
      </c>
      <c r="W91" s="48">
        <f t="shared" si="33"/>
        <v>5</v>
      </c>
      <c r="X91" s="48">
        <f t="shared" si="34"/>
        <v>-5</v>
      </c>
      <c r="Y91" s="48">
        <f t="shared" si="41"/>
        <v>-2.6779382532757245E-2</v>
      </c>
      <c r="Z91" s="48">
        <f>$B$5*SQRT(($B$4/(2-$B$4))*(1-(1-$B$4)^(2*81)))</f>
        <v>1</v>
      </c>
      <c r="AA91" s="48">
        <f t="shared" si="35"/>
        <v>-1</v>
      </c>
    </row>
    <row r="92" spans="1:27" x14ac:dyDescent="0.35">
      <c r="A92" s="53">
        <f>'Yazılım SW Hatası'!A83</f>
        <v>46181</v>
      </c>
      <c r="B92" s="48">
        <f>'Yazılım SW Hatası'!B83</f>
        <v>35</v>
      </c>
      <c r="C92" s="48">
        <f>'Yazılım SW Hatası'!C83</f>
        <v>0</v>
      </c>
      <c r="D92" s="48">
        <f t="shared" si="28"/>
        <v>0</v>
      </c>
      <c r="E92" s="48">
        <f>SQRT('Yazılım SW Hatası'!$D$148*(1-'Yazılım SW Hatası'!$D$148)/B92)</f>
        <v>1.1991168023398785E-2</v>
      </c>
      <c r="F92" s="48">
        <f>(D92-'Yazılım SW Hatası'!$D$148)/E92</f>
        <v>-0.42182454060959779</v>
      </c>
      <c r="G92" s="48">
        <f t="shared" si="36"/>
        <v>0</v>
      </c>
      <c r="H92" s="48">
        <f t="shared" si="37"/>
        <v>0</v>
      </c>
      <c r="I92" s="48">
        <f t="shared" si="29"/>
        <v>5</v>
      </c>
      <c r="J92" s="48">
        <f t="shared" si="30"/>
        <v>-5</v>
      </c>
      <c r="K92" s="48">
        <f t="shared" si="38"/>
        <v>-0.24290161317112569</v>
      </c>
      <c r="L92" s="48">
        <f>$B$5*SQRT(($B$4/(2-$B$4))*(1-(1-$B$4)^(2*82)))</f>
        <v>1</v>
      </c>
      <c r="M92" s="48">
        <f t="shared" si="31"/>
        <v>-1</v>
      </c>
      <c r="O92" s="53">
        <f>'Elektronik- Fonksiyon Hatası '!A83</f>
        <v>46181</v>
      </c>
      <c r="P92" s="48">
        <f>'Elektronik- Fonksiyon Hatası '!B83</f>
        <v>35</v>
      </c>
      <c r="Q92" s="48">
        <f>'Elektronik- Fonksiyon Hatası '!C83</f>
        <v>0</v>
      </c>
      <c r="R92" s="48">
        <f t="shared" si="32"/>
        <v>0</v>
      </c>
      <c r="S92" s="48">
        <f>SQRT('Elektronik- Fonksiyon Hatası '!$D$148*(1-'Elektronik- Fonksiyon Hatası '!$D$148)/P92)</f>
        <v>1.2824905038976223E-2</v>
      </c>
      <c r="T92" s="48">
        <f>(R92-'Elektronik- Fonksiyon Hatası '!$D$148)/S92</f>
        <v>-0.45148589881063728</v>
      </c>
      <c r="U92" s="48">
        <f t="shared" si="39"/>
        <v>0</v>
      </c>
      <c r="V92" s="48">
        <f t="shared" si="40"/>
        <v>0</v>
      </c>
      <c r="W92" s="48">
        <f t="shared" si="33"/>
        <v>5</v>
      </c>
      <c r="X92" s="48">
        <f t="shared" si="34"/>
        <v>-5</v>
      </c>
      <c r="Y92" s="48">
        <f t="shared" si="41"/>
        <v>-0.11172068578833326</v>
      </c>
      <c r="Z92" s="48">
        <f>$B$5*SQRT(($B$4/(2-$B$4))*(1-(1-$B$4)^(2*82)))</f>
        <v>1</v>
      </c>
      <c r="AA92" s="48">
        <f t="shared" si="35"/>
        <v>-1</v>
      </c>
    </row>
    <row r="93" spans="1:27" x14ac:dyDescent="0.35">
      <c r="A93" s="53">
        <f>'Yazılım SW Hatası'!A84</f>
        <v>46182</v>
      </c>
      <c r="B93" s="48">
        <f>'Yazılım SW Hatası'!B84</f>
        <v>13</v>
      </c>
      <c r="C93" s="48">
        <f>'Yazılım SW Hatası'!C84</f>
        <v>0</v>
      </c>
      <c r="D93" s="48">
        <f t="shared" si="28"/>
        <v>0</v>
      </c>
      <c r="E93" s="48">
        <f>SQRT('Yazılım SW Hatası'!$D$148*(1-'Yazılım SW Hatası'!$D$148)/B93)</f>
        <v>1.9675411968687353E-2</v>
      </c>
      <c r="F93" s="48">
        <f>(D93-'Yazılım SW Hatası'!$D$148)/E93</f>
        <v>-0.257080713272615</v>
      </c>
      <c r="G93" s="48">
        <f t="shared" si="36"/>
        <v>0</v>
      </c>
      <c r="H93" s="48">
        <f t="shared" si="37"/>
        <v>0</v>
      </c>
      <c r="I93" s="48">
        <f t="shared" si="29"/>
        <v>5</v>
      </c>
      <c r="J93" s="48">
        <f t="shared" si="30"/>
        <v>-5</v>
      </c>
      <c r="K93" s="48">
        <f t="shared" si="38"/>
        <v>-0.24573743319142355</v>
      </c>
      <c r="L93" s="48">
        <f>$B$5*SQRT(($B$4/(2-$B$4))*(1-(1-$B$4)^(2*83)))</f>
        <v>1</v>
      </c>
      <c r="M93" s="48">
        <f t="shared" si="31"/>
        <v>-1</v>
      </c>
      <c r="O93" s="53">
        <f>'Elektronik- Fonksiyon Hatası '!A84</f>
        <v>46182</v>
      </c>
      <c r="P93" s="48">
        <f>'Elektronik- Fonksiyon Hatası '!B84</f>
        <v>13</v>
      </c>
      <c r="Q93" s="48">
        <f>'Elektronik- Fonksiyon Hatası '!C84</f>
        <v>0</v>
      </c>
      <c r="R93" s="48">
        <f t="shared" si="32"/>
        <v>0</v>
      </c>
      <c r="S93" s="48">
        <f>SQRT('Elektronik- Fonksiyon Hatası '!$D$148*(1-'Elektronik- Fonksiyon Hatası '!$D$148)/P93)</f>
        <v>2.1043428764300598E-2</v>
      </c>
      <c r="T93" s="48">
        <f>(R93-'Elektronik- Fonksiyon Hatası '!$D$148)/S93</f>
        <v>-0.27515781023795038</v>
      </c>
      <c r="U93" s="48">
        <f t="shared" si="39"/>
        <v>0</v>
      </c>
      <c r="V93" s="48">
        <f t="shared" si="40"/>
        <v>0</v>
      </c>
      <c r="W93" s="48">
        <f t="shared" si="33"/>
        <v>5</v>
      </c>
      <c r="X93" s="48">
        <f t="shared" si="34"/>
        <v>-5</v>
      </c>
      <c r="Y93" s="48">
        <f t="shared" si="41"/>
        <v>-0.14440811067825671</v>
      </c>
      <c r="Z93" s="48">
        <f>$B$5*SQRT(($B$4/(2-$B$4))*(1-(1-$B$4)^(2*83)))</f>
        <v>1</v>
      </c>
      <c r="AA93" s="48">
        <f t="shared" si="35"/>
        <v>-1</v>
      </c>
    </row>
    <row r="94" spans="1:27" x14ac:dyDescent="0.35">
      <c r="A94" s="53">
        <f>'Yazılım SW Hatası'!A85</f>
        <v>46183</v>
      </c>
      <c r="B94" s="48">
        <f>'Yazılım SW Hatası'!B85</f>
        <v>67</v>
      </c>
      <c r="C94" s="48">
        <f>'Yazılım SW Hatası'!C85</f>
        <v>0</v>
      </c>
      <c r="D94" s="48">
        <f t="shared" si="28"/>
        <v>0</v>
      </c>
      <c r="E94" s="48">
        <f>SQRT('Yazılım SW Hatası'!$D$148*(1-'Yazılım SW Hatası'!$D$148)/B94)</f>
        <v>8.6667867221014109E-3</v>
      </c>
      <c r="F94" s="48">
        <f>(D94-'Yazılım SW Hatası'!$D$148)/E94</f>
        <v>-0.58362679330087996</v>
      </c>
      <c r="G94" s="48">
        <f t="shared" si="36"/>
        <v>0</v>
      </c>
      <c r="H94" s="48">
        <f t="shared" si="37"/>
        <v>8.3626793300879965E-2</v>
      </c>
      <c r="I94" s="48">
        <f t="shared" si="29"/>
        <v>5</v>
      </c>
      <c r="J94" s="48">
        <f t="shared" si="30"/>
        <v>-5</v>
      </c>
      <c r="K94" s="48">
        <f t="shared" si="38"/>
        <v>-0.31331530521331485</v>
      </c>
      <c r="L94" s="48">
        <f>$B$5*SQRT(($B$4/(2-$B$4))*(1-(1-$B$4)^(2*84)))</f>
        <v>1</v>
      </c>
      <c r="M94" s="48">
        <f t="shared" si="31"/>
        <v>-1</v>
      </c>
      <c r="O94" s="53">
        <f>'Elektronik- Fonksiyon Hatası '!A85</f>
        <v>46183</v>
      </c>
      <c r="P94" s="48">
        <f>'Elektronik- Fonksiyon Hatası '!B85</f>
        <v>67</v>
      </c>
      <c r="Q94" s="48">
        <f>'Elektronik- Fonksiyon Hatası '!C85</f>
        <v>0</v>
      </c>
      <c r="R94" s="48">
        <f t="shared" si="32"/>
        <v>0</v>
      </c>
      <c r="S94" s="48">
        <f>SQRT('Elektronik- Fonksiyon Hatası '!$D$148*(1-'Elektronik- Fonksiyon Hatası '!$D$148)/P94)</f>
        <v>9.2693819723915407E-3</v>
      </c>
      <c r="T94" s="48">
        <f>(R94-'Elektronik- Fonksiyon Hatası '!$D$148)/S94</f>
        <v>-0.62466557057733785</v>
      </c>
      <c r="U94" s="48">
        <f t="shared" si="39"/>
        <v>0</v>
      </c>
      <c r="V94" s="48">
        <f t="shared" si="40"/>
        <v>0.12466557057733785</v>
      </c>
      <c r="W94" s="48">
        <f t="shared" si="33"/>
        <v>5</v>
      </c>
      <c r="X94" s="48">
        <f t="shared" si="34"/>
        <v>-5</v>
      </c>
      <c r="Y94" s="48">
        <f t="shared" si="41"/>
        <v>-0.24045960265807295</v>
      </c>
      <c r="Z94" s="48">
        <f>$B$5*SQRT(($B$4/(2-$B$4))*(1-(1-$B$4)^(2*84)))</f>
        <v>1</v>
      </c>
      <c r="AA94" s="48">
        <f t="shared" si="35"/>
        <v>-1</v>
      </c>
    </row>
    <row r="95" spans="1:27" x14ac:dyDescent="0.35">
      <c r="A95" s="53">
        <f>'Yazılım SW Hatası'!A86</f>
        <v>46184</v>
      </c>
      <c r="B95" s="48">
        <f>'Yazılım SW Hatası'!B86</f>
        <v>147</v>
      </c>
      <c r="C95" s="48">
        <f>'Yazılım SW Hatası'!C86</f>
        <v>1</v>
      </c>
      <c r="D95" s="48">
        <f t="shared" si="28"/>
        <v>6.8027210884353739E-3</v>
      </c>
      <c r="E95" s="48">
        <f>SQRT('Yazılım SW Hatası'!$D$148*(1-'Yazılım SW Hatası'!$D$148)/B95)</f>
        <v>5.8510908743864961E-3</v>
      </c>
      <c r="F95" s="48">
        <f>(D95-'Yazılım SW Hatası'!$D$148)/E95</f>
        <v>0.29815844310837236</v>
      </c>
      <c r="G95" s="48">
        <f t="shared" si="36"/>
        <v>0</v>
      </c>
      <c r="H95" s="48">
        <f t="shared" si="37"/>
        <v>0</v>
      </c>
      <c r="I95" s="48">
        <f t="shared" si="29"/>
        <v>5</v>
      </c>
      <c r="J95" s="48">
        <f t="shared" si="30"/>
        <v>-5</v>
      </c>
      <c r="K95" s="48">
        <f t="shared" si="38"/>
        <v>-0.19102055554897743</v>
      </c>
      <c r="L95" s="48">
        <f>$B$5*SQRT(($B$4/(2-$B$4))*(1-(1-$B$4)^(2*85)))</f>
        <v>1</v>
      </c>
      <c r="M95" s="48">
        <f t="shared" si="31"/>
        <v>-1</v>
      </c>
      <c r="O95" s="53">
        <f>'Elektronik- Fonksiyon Hatası '!A86</f>
        <v>46184</v>
      </c>
      <c r="P95" s="48">
        <f>'Elektronik- Fonksiyon Hatası '!B86</f>
        <v>147</v>
      </c>
      <c r="Q95" s="48">
        <f>'Elektronik- Fonksiyon Hatası '!C86</f>
        <v>0</v>
      </c>
      <c r="R95" s="48">
        <f t="shared" si="32"/>
        <v>0</v>
      </c>
      <c r="S95" s="48">
        <f>SQRT('Elektronik- Fonksiyon Hatası '!$D$148*(1-'Elektronik- Fonksiyon Hatası '!$D$148)/P95)</f>
        <v>6.2579128815474531E-3</v>
      </c>
      <c r="T95" s="48">
        <f>(R95-'Elektronik- Fonksiyon Hatası '!$D$148)/S95</f>
        <v>-0.92527075532752345</v>
      </c>
      <c r="U95" s="48">
        <f t="shared" si="39"/>
        <v>0</v>
      </c>
      <c r="V95" s="48">
        <f t="shared" si="40"/>
        <v>0.5499363259048613</v>
      </c>
      <c r="W95" s="48">
        <f t="shared" si="33"/>
        <v>5</v>
      </c>
      <c r="X95" s="48">
        <f t="shared" si="34"/>
        <v>-5</v>
      </c>
      <c r="Y95" s="48">
        <f t="shared" si="41"/>
        <v>-0.3774218331919631</v>
      </c>
      <c r="Z95" s="48">
        <f>$B$5*SQRT(($B$4/(2-$B$4))*(1-(1-$B$4)^(2*85)))</f>
        <v>1</v>
      </c>
      <c r="AA95" s="48">
        <f t="shared" si="35"/>
        <v>-1</v>
      </c>
    </row>
    <row r="96" spans="1:27" x14ac:dyDescent="0.35">
      <c r="A96" s="53">
        <f>'Yazılım SW Hatası'!A87</f>
        <v>46185</v>
      </c>
      <c r="B96" s="48">
        <f>'Yazılım SW Hatası'!B87</f>
        <v>4</v>
      </c>
      <c r="C96" s="48">
        <f>'Yazılım SW Hatası'!C87</f>
        <v>0</v>
      </c>
      <c r="D96" s="48">
        <f t="shared" si="28"/>
        <v>0</v>
      </c>
      <c r="E96" s="48">
        <f>SQRT('Yazılım SW Hatası'!$D$148*(1-'Yazılım SW Hatası'!$D$148)/B96)</f>
        <v>3.5470353359490066E-2</v>
      </c>
      <c r="F96" s="48">
        <f>(D96-'Yazılım SW Hatası'!$D$148)/E96</f>
        <v>-0.1426027220980414</v>
      </c>
      <c r="G96" s="48">
        <f t="shared" si="36"/>
        <v>0</v>
      </c>
      <c r="H96" s="48">
        <f t="shared" si="37"/>
        <v>0</v>
      </c>
      <c r="I96" s="48">
        <f t="shared" si="29"/>
        <v>5</v>
      </c>
      <c r="J96" s="48">
        <f t="shared" si="30"/>
        <v>-5</v>
      </c>
      <c r="K96" s="48">
        <f t="shared" si="38"/>
        <v>-0.18133698885879024</v>
      </c>
      <c r="L96" s="48">
        <f>$B$5*SQRT(($B$4/(2-$B$4))*(1-(1-$B$4)^(2*86)))</f>
        <v>1</v>
      </c>
      <c r="M96" s="48">
        <f t="shared" si="31"/>
        <v>-1</v>
      </c>
      <c r="O96" s="53">
        <f>'Elektronik- Fonksiyon Hatası '!A87</f>
        <v>46185</v>
      </c>
      <c r="P96" s="48">
        <f>'Elektronik- Fonksiyon Hatası '!B87</f>
        <v>4</v>
      </c>
      <c r="Q96" s="48">
        <f>'Elektronik- Fonksiyon Hatası '!C87</f>
        <v>0</v>
      </c>
      <c r="R96" s="48">
        <f t="shared" si="32"/>
        <v>0</v>
      </c>
      <c r="S96" s="48">
        <f>SQRT('Elektronik- Fonksiyon Hatası '!$D$148*(1-'Elektronik- Fonksiyon Hatası '!$D$148)/P96)</f>
        <v>3.7936580710629809E-2</v>
      </c>
      <c r="T96" s="48">
        <f>(R96-'Elektronik- Fonksiyon Hatası '!$D$148)/S96</f>
        <v>-0.15263009133189545</v>
      </c>
      <c r="U96" s="48">
        <f t="shared" si="39"/>
        <v>0</v>
      </c>
      <c r="V96" s="48">
        <f t="shared" si="40"/>
        <v>0.20256641723675672</v>
      </c>
      <c r="W96" s="48">
        <f t="shared" si="33"/>
        <v>5</v>
      </c>
      <c r="X96" s="48">
        <f t="shared" si="34"/>
        <v>-5</v>
      </c>
      <c r="Y96" s="48">
        <f t="shared" si="41"/>
        <v>-0.33246348481994958</v>
      </c>
      <c r="Z96" s="48">
        <f>$B$5*SQRT(($B$4/(2-$B$4))*(1-(1-$B$4)^(2*86)))</f>
        <v>1</v>
      </c>
      <c r="AA96" s="48">
        <f t="shared" si="35"/>
        <v>-1</v>
      </c>
    </row>
    <row r="97" spans="1:27" x14ac:dyDescent="0.35">
      <c r="A97" s="53">
        <f>'Yazılım SW Hatası'!A88</f>
        <v>46186</v>
      </c>
      <c r="B97" s="48">
        <f>'Yazılım SW Hatası'!B88</f>
        <v>300</v>
      </c>
      <c r="C97" s="48">
        <f>'Yazılım SW Hatası'!C88</f>
        <v>2</v>
      </c>
      <c r="D97" s="48">
        <f t="shared" si="28"/>
        <v>6.6666666666666671E-3</v>
      </c>
      <c r="E97" s="48">
        <f>SQRT('Yazılım SW Hatası'!$D$148*(1-'Yazılım SW Hatası'!$D$148)/B97)</f>
        <v>4.0957636120705476E-3</v>
      </c>
      <c r="F97" s="48">
        <f>(D97-'Yazılım SW Hatası'!$D$148)/E97</f>
        <v>0.39272230435457817</v>
      </c>
      <c r="G97" s="48">
        <f t="shared" si="36"/>
        <v>0</v>
      </c>
      <c r="H97" s="48">
        <f t="shared" si="37"/>
        <v>0</v>
      </c>
      <c r="I97" s="48">
        <f t="shared" si="29"/>
        <v>5</v>
      </c>
      <c r="J97" s="48">
        <f t="shared" si="30"/>
        <v>-5</v>
      </c>
      <c r="K97" s="48">
        <f t="shared" si="38"/>
        <v>-6.6525130216116543E-2</v>
      </c>
      <c r="L97" s="48">
        <f>$B$5*SQRT(($B$4/(2-$B$4))*(1-(1-$B$4)^(2*87)))</f>
        <v>1</v>
      </c>
      <c r="M97" s="48">
        <f t="shared" si="31"/>
        <v>-1</v>
      </c>
      <c r="O97" s="53">
        <f>'Elektronik- Fonksiyon Hatası '!A88</f>
        <v>46186</v>
      </c>
      <c r="P97" s="48">
        <f>'Elektronik- Fonksiyon Hatası '!B88</f>
        <v>30</v>
      </c>
      <c r="Q97" s="48">
        <f>'Elektronik- Fonksiyon Hatası '!C88</f>
        <v>1</v>
      </c>
      <c r="R97" s="48">
        <f t="shared" si="32"/>
        <v>3.3333333333333333E-2</v>
      </c>
      <c r="S97" s="48">
        <f>SQRT('Elektronik- Fonksiyon Hatası '!$D$148*(1-'Elektronik- Fonksiyon Hatası '!$D$148)/P97)</f>
        <v>1.3852480673218209E-2</v>
      </c>
      <c r="T97" s="48">
        <f>(R97-'Elektronik- Fonksiyon Hatası '!$D$148)/S97</f>
        <v>1.9883131551954207</v>
      </c>
      <c r="U97" s="48">
        <f t="shared" si="39"/>
        <v>1.4883131551954207</v>
      </c>
      <c r="V97" s="48">
        <f t="shared" si="40"/>
        <v>0</v>
      </c>
      <c r="W97" s="48">
        <f t="shared" si="33"/>
        <v>5</v>
      </c>
      <c r="X97" s="48">
        <f t="shared" si="34"/>
        <v>-5</v>
      </c>
      <c r="Y97" s="48">
        <f t="shared" si="41"/>
        <v>0.13169184318312449</v>
      </c>
      <c r="Z97" s="48">
        <f>$B$5*SQRT(($B$4/(2-$B$4))*(1-(1-$B$4)^(2*87)))</f>
        <v>1</v>
      </c>
      <c r="AA97" s="48">
        <f t="shared" si="35"/>
        <v>-1</v>
      </c>
    </row>
    <row r="98" spans="1:27" x14ac:dyDescent="0.35">
      <c r="A98" s="53">
        <f>'Yazılım SW Hatası'!A89</f>
        <v>46188</v>
      </c>
      <c r="B98" s="48">
        <f>'Yazılım SW Hatası'!B89</f>
        <v>5</v>
      </c>
      <c r="C98" s="48">
        <f>'Yazılım SW Hatası'!C89</f>
        <v>0</v>
      </c>
      <c r="D98" s="48">
        <f t="shared" si="28"/>
        <v>0</v>
      </c>
      <c r="E98" s="48">
        <f>SQRT('Yazılım SW Hatası'!$D$148*(1-'Yazılım SW Hatası'!$D$148)/B98)</f>
        <v>3.1725648519103131E-2</v>
      </c>
      <c r="F98" s="48">
        <f>(D98-'Yazılım SW Hatası'!$D$148)/E98</f>
        <v>-0.159434690193866</v>
      </c>
      <c r="G98" s="48">
        <f t="shared" si="36"/>
        <v>0</v>
      </c>
      <c r="H98" s="48">
        <f t="shared" si="37"/>
        <v>0</v>
      </c>
      <c r="I98" s="48">
        <f t="shared" si="29"/>
        <v>5</v>
      </c>
      <c r="J98" s="48">
        <f t="shared" si="30"/>
        <v>-5</v>
      </c>
      <c r="K98" s="48">
        <f t="shared" si="38"/>
        <v>-8.5107042211666442E-2</v>
      </c>
      <c r="L98" s="48">
        <f>$B$5*SQRT(($B$4/(2-$B$4))*(1-(1-$B$4)^(2*88)))</f>
        <v>1</v>
      </c>
      <c r="M98" s="48">
        <f t="shared" si="31"/>
        <v>-1</v>
      </c>
      <c r="O98" s="53">
        <f>'Elektronik- Fonksiyon Hatası '!A89</f>
        <v>46188</v>
      </c>
      <c r="P98" s="48">
        <f>'Elektronik- Fonksiyon Hatası '!B89</f>
        <v>5</v>
      </c>
      <c r="Q98" s="48">
        <f>'Elektronik- Fonksiyon Hatası '!C89</f>
        <v>0</v>
      </c>
      <c r="R98" s="48">
        <f t="shared" si="32"/>
        <v>0</v>
      </c>
      <c r="S98" s="48">
        <f>SQRT('Elektronik- Fonksiyon Hatası '!$D$148*(1-'Elektronik- Fonksiyon Hatası '!$D$148)/P98)</f>
        <v>3.3931509321150216E-2</v>
      </c>
      <c r="T98" s="48">
        <f>(R98-'Elektronik- Fonksiyon Hatası '!$D$148)/S98</f>
        <v>-0.17064562981505982</v>
      </c>
      <c r="U98" s="48">
        <f t="shared" si="39"/>
        <v>0.81766752538036092</v>
      </c>
      <c r="V98" s="48">
        <f t="shared" si="40"/>
        <v>0</v>
      </c>
      <c r="W98" s="48">
        <f t="shared" si="33"/>
        <v>5</v>
      </c>
      <c r="X98" s="48">
        <f t="shared" si="34"/>
        <v>-5</v>
      </c>
      <c r="Y98" s="48">
        <f t="shared" si="41"/>
        <v>7.122434858348764E-2</v>
      </c>
      <c r="Z98" s="48">
        <f>$B$5*SQRT(($B$4/(2-$B$4))*(1-(1-$B$4)^(2*88)))</f>
        <v>1</v>
      </c>
      <c r="AA98" s="48">
        <f t="shared" si="35"/>
        <v>-1</v>
      </c>
    </row>
    <row r="99" spans="1:27" x14ac:dyDescent="0.35">
      <c r="A99" s="53">
        <f>'Yazılım SW Hatası'!A90</f>
        <v>46189</v>
      </c>
      <c r="B99" s="48">
        <f>'Yazılım SW Hatası'!B90</f>
        <v>19</v>
      </c>
      <c r="C99" s="48">
        <f>'Yazılım SW Hatası'!C90</f>
        <v>0</v>
      </c>
      <c r="D99" s="48">
        <f t="shared" si="28"/>
        <v>0</v>
      </c>
      <c r="E99" s="48">
        <f>SQRT('Yazılım SW Hatası'!$D$148*(1-'Yazılım SW Hatası'!$D$148)/B99)</f>
        <v>1.6274914293231118E-2</v>
      </c>
      <c r="F99" s="48">
        <f>(D99-'Yazılım SW Hatası'!$D$148)/E99</f>
        <v>-0.31079542734958848</v>
      </c>
      <c r="G99" s="48">
        <f t="shared" si="36"/>
        <v>0</v>
      </c>
      <c r="H99" s="48">
        <f t="shared" si="37"/>
        <v>0</v>
      </c>
      <c r="I99" s="48">
        <f t="shared" si="29"/>
        <v>5</v>
      </c>
      <c r="J99" s="48">
        <f t="shared" si="30"/>
        <v>-5</v>
      </c>
      <c r="K99" s="48">
        <f t="shared" si="38"/>
        <v>-0.13024471923925085</v>
      </c>
      <c r="L99" s="48">
        <f>$B$5*SQRT(($B$4/(2-$B$4))*(1-(1-$B$4)^(2*89)))</f>
        <v>1</v>
      </c>
      <c r="M99" s="48">
        <f t="shared" si="31"/>
        <v>-1</v>
      </c>
      <c r="O99" s="53">
        <f>'Elektronik- Fonksiyon Hatası '!A90</f>
        <v>46189</v>
      </c>
      <c r="P99" s="48">
        <f>'Elektronik- Fonksiyon Hatası '!B90</f>
        <v>19</v>
      </c>
      <c r="Q99" s="48">
        <f>'Elektronik- Fonksiyon Hatası '!C90</f>
        <v>0</v>
      </c>
      <c r="R99" s="48">
        <f t="shared" si="32"/>
        <v>0</v>
      </c>
      <c r="S99" s="48">
        <f>SQRT('Elektronik- Fonksiyon Hatası '!$D$148*(1-'Elektronik- Fonksiyon Hatası '!$D$148)/P99)</f>
        <v>1.7406497008537872E-2</v>
      </c>
      <c r="T99" s="48">
        <f>(R99-'Elektronik- Fonksiyon Hatası '!$D$148)/S99</f>
        <v>-0.3326495719295578</v>
      </c>
      <c r="U99" s="48">
        <f t="shared" si="39"/>
        <v>0</v>
      </c>
      <c r="V99" s="48">
        <f t="shared" si="40"/>
        <v>0</v>
      </c>
      <c r="W99" s="48">
        <f t="shared" si="33"/>
        <v>5</v>
      </c>
      <c r="X99" s="48">
        <f t="shared" si="34"/>
        <v>-5</v>
      </c>
      <c r="Y99" s="48">
        <f t="shared" si="41"/>
        <v>-9.5504355191214502E-3</v>
      </c>
      <c r="Z99" s="48">
        <f>$B$5*SQRT(($B$4/(2-$B$4))*(1-(1-$B$4)^(2*89)))</f>
        <v>1</v>
      </c>
      <c r="AA99" s="48">
        <f t="shared" si="35"/>
        <v>-1</v>
      </c>
    </row>
    <row r="100" spans="1:27" x14ac:dyDescent="0.35">
      <c r="A100" s="53">
        <f>'Yazılım SW Hatası'!A91</f>
        <v>46190</v>
      </c>
      <c r="B100" s="48">
        <f>'Yazılım SW Hatası'!B91</f>
        <v>9</v>
      </c>
      <c r="C100" s="48">
        <f>'Yazılım SW Hatası'!C91</f>
        <v>0</v>
      </c>
      <c r="D100" s="48">
        <f t="shared" si="28"/>
        <v>0</v>
      </c>
      <c r="E100" s="48">
        <f>SQRT('Yazılım SW Hatası'!$D$148*(1-'Yazılım SW Hatası'!$D$148)/B100)</f>
        <v>2.3646902239660043E-2</v>
      </c>
      <c r="F100" s="48">
        <f>(D100-'Yazılım SW Hatası'!$D$148)/E100</f>
        <v>-0.21390408314706211</v>
      </c>
      <c r="G100" s="48">
        <f t="shared" si="36"/>
        <v>0</v>
      </c>
      <c r="H100" s="48">
        <f t="shared" si="37"/>
        <v>0</v>
      </c>
      <c r="I100" s="48">
        <f t="shared" si="29"/>
        <v>5</v>
      </c>
      <c r="J100" s="48">
        <f t="shared" si="30"/>
        <v>-5</v>
      </c>
      <c r="K100" s="48">
        <f t="shared" si="38"/>
        <v>-0.14697659202081309</v>
      </c>
      <c r="L100" s="48">
        <f>$B$5*SQRT(($B$4/(2-$B$4))*(1-(1-$B$4)^(2*90)))</f>
        <v>1</v>
      </c>
      <c r="M100" s="48">
        <f t="shared" si="31"/>
        <v>-1</v>
      </c>
      <c r="O100" s="53">
        <f>'Elektronik- Fonksiyon Hatası '!A91</f>
        <v>46190</v>
      </c>
      <c r="P100" s="48">
        <f>'Elektronik- Fonksiyon Hatası '!B91</f>
        <v>9</v>
      </c>
      <c r="Q100" s="48">
        <f>'Elektronik- Fonksiyon Hatası '!C91</f>
        <v>0</v>
      </c>
      <c r="R100" s="48">
        <f t="shared" si="32"/>
        <v>0</v>
      </c>
      <c r="S100" s="48">
        <f>SQRT('Elektronik- Fonksiyon Hatası '!$D$148*(1-'Elektronik- Fonksiyon Hatası '!$D$148)/P100)</f>
        <v>2.5291053807086541E-2</v>
      </c>
      <c r="T100" s="48">
        <f>(R100-'Elektronik- Fonksiyon Hatası '!$D$148)/S100</f>
        <v>-0.22894513699784316</v>
      </c>
      <c r="U100" s="48">
        <f t="shared" si="39"/>
        <v>0</v>
      </c>
      <c r="V100" s="48">
        <f t="shared" si="40"/>
        <v>0</v>
      </c>
      <c r="W100" s="48">
        <f t="shared" si="33"/>
        <v>5</v>
      </c>
      <c r="X100" s="48">
        <f t="shared" si="34"/>
        <v>-5</v>
      </c>
      <c r="Y100" s="48">
        <f t="shared" si="41"/>
        <v>-5.3429375814865801E-2</v>
      </c>
      <c r="Z100" s="48">
        <f>$B$5*SQRT(($B$4/(2-$B$4))*(1-(1-$B$4)^(2*90)))</f>
        <v>1</v>
      </c>
      <c r="AA100" s="48">
        <f t="shared" si="35"/>
        <v>-1</v>
      </c>
    </row>
    <row r="101" spans="1:27" x14ac:dyDescent="0.35">
      <c r="A101" s="53">
        <f>'Yazılım SW Hatası'!A92</f>
        <v>46191</v>
      </c>
      <c r="B101" s="48">
        <f>'Yazılım SW Hatası'!B92</f>
        <v>7</v>
      </c>
      <c r="C101" s="48">
        <f>'Yazılım SW Hatası'!C92</f>
        <v>0</v>
      </c>
      <c r="D101" s="48">
        <f t="shared" si="28"/>
        <v>0</v>
      </c>
      <c r="E101" s="48">
        <f>SQRT('Yazılım SW Hatası'!$D$148*(1-'Yazılım SW Hatası'!$D$148)/B101)</f>
        <v>2.681306682994147E-2</v>
      </c>
      <c r="F101" s="48">
        <f>(D101-'Yazılım SW Hatası'!$D$148)/E101</f>
        <v>-0.18864566947613626</v>
      </c>
      <c r="G101" s="48">
        <f t="shared" si="36"/>
        <v>0</v>
      </c>
      <c r="H101" s="48">
        <f t="shared" si="37"/>
        <v>0</v>
      </c>
      <c r="I101" s="48">
        <f t="shared" si="29"/>
        <v>5</v>
      </c>
      <c r="J101" s="48">
        <f t="shared" si="30"/>
        <v>-5</v>
      </c>
      <c r="K101" s="48">
        <f t="shared" si="38"/>
        <v>-0.15531040751187775</v>
      </c>
      <c r="L101" s="48">
        <f>$B$5*SQRT(($B$4/(2-$B$4))*(1-(1-$B$4)^(2*91)))</f>
        <v>1</v>
      </c>
      <c r="M101" s="48">
        <f t="shared" si="31"/>
        <v>-1</v>
      </c>
      <c r="O101" s="53">
        <f>'Elektronik- Fonksiyon Hatası '!A92</f>
        <v>46191</v>
      </c>
      <c r="P101" s="48">
        <f>'Elektronik- Fonksiyon Hatası '!B92</f>
        <v>7</v>
      </c>
      <c r="Q101" s="48">
        <f>'Elektronik- Fonksiyon Hatası '!C92</f>
        <v>0</v>
      </c>
      <c r="R101" s="48">
        <f t="shared" si="32"/>
        <v>0</v>
      </c>
      <c r="S101" s="48">
        <f>SQRT('Elektronik- Fonksiyon Hatası '!$D$148*(1-'Elektronik- Fonksiyon Hatası '!$D$148)/P101)</f>
        <v>2.8677359472130421E-2</v>
      </c>
      <c r="T101" s="48">
        <f>(R101-'Elektronik- Fonksiyon Hatası '!$D$148)/S101</f>
        <v>-0.20191063212463531</v>
      </c>
      <c r="U101" s="48">
        <f t="shared" si="39"/>
        <v>0</v>
      </c>
      <c r="V101" s="48">
        <f t="shared" si="40"/>
        <v>0</v>
      </c>
      <c r="W101" s="48">
        <f t="shared" si="33"/>
        <v>5</v>
      </c>
      <c r="X101" s="48">
        <f t="shared" si="34"/>
        <v>-5</v>
      </c>
      <c r="Y101" s="48">
        <f t="shared" si="41"/>
        <v>-8.3125627076819697E-2</v>
      </c>
      <c r="Z101" s="48">
        <f>$B$5*SQRT(($B$4/(2-$B$4))*(1-(1-$B$4)^(2*91)))</f>
        <v>1</v>
      </c>
      <c r="AA101" s="48">
        <f t="shared" si="35"/>
        <v>-1</v>
      </c>
    </row>
    <row r="102" spans="1:27" x14ac:dyDescent="0.35">
      <c r="A102" s="53">
        <f>'Yazılım SW Hatası'!A93</f>
        <v>46192</v>
      </c>
      <c r="B102" s="48">
        <f>'Yazılım SW Hatası'!B93</f>
        <v>30</v>
      </c>
      <c r="C102" s="48">
        <f>'Yazılım SW Hatası'!C93</f>
        <v>0</v>
      </c>
      <c r="D102" s="48">
        <f t="shared" si="28"/>
        <v>0</v>
      </c>
      <c r="E102" s="48">
        <f>SQRT('Yazılım SW Hatası'!$D$148*(1-'Yazılım SW Hatası'!$D$148)/B102)</f>
        <v>1.2951941771781239E-2</v>
      </c>
      <c r="F102" s="48">
        <f>(D102-'Yazılım SW Hatası'!$D$148)/E102</f>
        <v>-0.39053363827368853</v>
      </c>
      <c r="G102" s="48">
        <f t="shared" si="36"/>
        <v>0</v>
      </c>
      <c r="H102" s="48">
        <f t="shared" si="37"/>
        <v>0</v>
      </c>
      <c r="I102" s="48">
        <f t="shared" si="29"/>
        <v>5</v>
      </c>
      <c r="J102" s="48">
        <f t="shared" si="30"/>
        <v>-5</v>
      </c>
      <c r="K102" s="48">
        <f t="shared" si="38"/>
        <v>-0.20235505366423989</v>
      </c>
      <c r="L102" s="48">
        <f>$B$5*SQRT(($B$4/(2-$B$4))*(1-(1-$B$4)^(2*92)))</f>
        <v>1</v>
      </c>
      <c r="M102" s="48">
        <f t="shared" si="31"/>
        <v>-1</v>
      </c>
      <c r="O102" s="53">
        <f>'Elektronik- Fonksiyon Hatası '!A93</f>
        <v>46192</v>
      </c>
      <c r="P102" s="48">
        <f>'Elektronik- Fonksiyon Hatası '!B93</f>
        <v>55</v>
      </c>
      <c r="Q102" s="48">
        <f>'Elektronik- Fonksiyon Hatası '!C93</f>
        <v>1</v>
      </c>
      <c r="R102" s="48">
        <f t="shared" si="32"/>
        <v>1.8181818181818181E-2</v>
      </c>
      <c r="S102" s="48">
        <f>SQRT('Elektronik- Fonksiyon Hatası '!$D$148*(1-'Elektronik- Fonksiyon Hatası '!$D$148)/P102)</f>
        <v>1.023073499897292E-2</v>
      </c>
      <c r="T102" s="48">
        <f>(R102-'Elektronik- Fonksiyon Hatası '!$D$148)/S102</f>
        <v>1.2112086183816646</v>
      </c>
      <c r="U102" s="48">
        <f t="shared" si="39"/>
        <v>0.7112086183816646</v>
      </c>
      <c r="V102" s="48">
        <f t="shared" si="40"/>
        <v>0</v>
      </c>
      <c r="W102" s="48">
        <f t="shared" si="33"/>
        <v>5</v>
      </c>
      <c r="X102" s="48">
        <f t="shared" si="34"/>
        <v>-5</v>
      </c>
      <c r="Y102" s="48">
        <f t="shared" si="41"/>
        <v>0.17574122201487719</v>
      </c>
      <c r="Z102" s="48">
        <f>$B$5*SQRT(($B$4/(2-$B$4))*(1-(1-$B$4)^(2*92)))</f>
        <v>1</v>
      </c>
      <c r="AA102" s="48">
        <f t="shared" si="35"/>
        <v>-1</v>
      </c>
    </row>
    <row r="103" spans="1:27" x14ac:dyDescent="0.35">
      <c r="A103" s="53">
        <f>'Yazılım SW Hatası'!A94</f>
        <v>46195</v>
      </c>
      <c r="B103" s="48">
        <f>'Yazılım SW Hatası'!B94</f>
        <v>3</v>
      </c>
      <c r="C103" s="48">
        <f>'Yazılım SW Hatası'!C94</f>
        <v>0</v>
      </c>
      <c r="D103" s="48">
        <f t="shared" si="28"/>
        <v>0</v>
      </c>
      <c r="E103" s="48">
        <f>SQRT('Yazılım SW Hatası'!$D$148*(1-'Yazılım SW Hatası'!$D$148)/B103)</f>
        <v>4.0957636120705472E-2</v>
      </c>
      <c r="F103" s="48">
        <f>(D103-'Yazılım SW Hatası'!$D$148)/E103</f>
        <v>-0.12349757998571639</v>
      </c>
      <c r="G103" s="48">
        <f t="shared" si="36"/>
        <v>0</v>
      </c>
      <c r="H103" s="48">
        <f t="shared" si="37"/>
        <v>0</v>
      </c>
      <c r="I103" s="48">
        <f t="shared" si="29"/>
        <v>5</v>
      </c>
      <c r="J103" s="48">
        <f t="shared" si="30"/>
        <v>-5</v>
      </c>
      <c r="K103" s="48">
        <f t="shared" si="38"/>
        <v>-0.1865835589285352</v>
      </c>
      <c r="L103" s="48">
        <f>$B$5*SQRT(($B$4/(2-$B$4))*(1-(1-$B$4)^(2*93)))</f>
        <v>1</v>
      </c>
      <c r="M103" s="48">
        <f t="shared" si="31"/>
        <v>-1</v>
      </c>
      <c r="O103" s="53">
        <f>'Elektronik- Fonksiyon Hatası '!A94</f>
        <v>46195</v>
      </c>
      <c r="P103" s="48">
        <f>'Elektronik- Fonksiyon Hatası '!B94</f>
        <v>3</v>
      </c>
      <c r="Q103" s="48">
        <f>'Elektronik- Fonksiyon Hatası '!C94</f>
        <v>0</v>
      </c>
      <c r="R103" s="48">
        <f t="shared" si="32"/>
        <v>0</v>
      </c>
      <c r="S103" s="48">
        <f>SQRT('Elektronik- Fonksiyon Hatası '!$D$148*(1-'Elektronik- Fonksiyon Hatası '!$D$148)/P103)</f>
        <v>4.3805390170832174E-2</v>
      </c>
      <c r="T103" s="48">
        <f>(R103-'Elektronik- Fonksiyon Hatası '!$D$148)/S103</f>
        <v>-0.13218153647536049</v>
      </c>
      <c r="U103" s="48">
        <f t="shared" si="39"/>
        <v>7.9027081906304142E-2</v>
      </c>
      <c r="V103" s="48">
        <f t="shared" si="40"/>
        <v>0</v>
      </c>
      <c r="W103" s="48">
        <f t="shared" si="33"/>
        <v>5</v>
      </c>
      <c r="X103" s="48">
        <f t="shared" si="34"/>
        <v>-5</v>
      </c>
      <c r="Y103" s="48">
        <f t="shared" si="41"/>
        <v>0.11415667031682966</v>
      </c>
      <c r="Z103" s="48">
        <f>$B$5*SQRT(($B$4/(2-$B$4))*(1-(1-$B$4)^(2*93)))</f>
        <v>1</v>
      </c>
      <c r="AA103" s="48">
        <f t="shared" si="35"/>
        <v>-1</v>
      </c>
    </row>
    <row r="104" spans="1:27" x14ac:dyDescent="0.35">
      <c r="A104" s="53">
        <f>'Yazılım SW Hatası'!A95</f>
        <v>46196</v>
      </c>
      <c r="B104" s="48">
        <f>'Yazılım SW Hatası'!B95</f>
        <v>68</v>
      </c>
      <c r="C104" s="48">
        <f>'Yazılım SW Hatası'!C95</f>
        <v>0</v>
      </c>
      <c r="D104" s="48">
        <f t="shared" si="28"/>
        <v>0</v>
      </c>
      <c r="E104" s="48">
        <f>SQRT('Yazılım SW Hatası'!$D$148*(1-'Yazılım SW Hatası'!$D$148)/B104)</f>
        <v>8.6028243223035157E-3</v>
      </c>
      <c r="F104" s="48">
        <f>(D104-'Yazılım SW Hatası'!$D$148)/E104</f>
        <v>-0.58796608571082642</v>
      </c>
      <c r="G104" s="48">
        <f t="shared" si="36"/>
        <v>0</v>
      </c>
      <c r="H104" s="48">
        <f t="shared" si="37"/>
        <v>8.7966085710826425E-2</v>
      </c>
      <c r="I104" s="48">
        <f t="shared" si="29"/>
        <v>5</v>
      </c>
      <c r="J104" s="48">
        <f t="shared" si="30"/>
        <v>-5</v>
      </c>
      <c r="K104" s="48">
        <f t="shared" si="38"/>
        <v>-0.26686006428499348</v>
      </c>
      <c r="L104" s="48">
        <f>$B$5*SQRT(($B$4/(2-$B$4))*(1-(1-$B$4)^(2*94)))</f>
        <v>1</v>
      </c>
      <c r="M104" s="48">
        <f t="shared" si="31"/>
        <v>-1</v>
      </c>
      <c r="O104" s="53">
        <f>'Elektronik- Fonksiyon Hatası '!A95</f>
        <v>46196</v>
      </c>
      <c r="P104" s="48">
        <f>'Elektronik- Fonksiyon Hatası '!B95</f>
        <v>68</v>
      </c>
      <c r="Q104" s="48">
        <f>'Elektronik- Fonksiyon Hatası '!C95</f>
        <v>0</v>
      </c>
      <c r="R104" s="48">
        <f t="shared" si="32"/>
        <v>0</v>
      </c>
      <c r="S104" s="48">
        <f>SQRT('Elektronik- Fonksiyon Hatası '!$D$148*(1-'Elektronik- Fonksiyon Hatası '!$D$148)/P104)</f>
        <v>9.2009723143938946E-3</v>
      </c>
      <c r="T104" s="48">
        <f>(R104-'Elektronik- Fonksiyon Hatası '!$D$148)/S104</f>
        <v>-0.62930998820907535</v>
      </c>
      <c r="U104" s="48">
        <f t="shared" si="39"/>
        <v>0</v>
      </c>
      <c r="V104" s="48">
        <f t="shared" si="40"/>
        <v>0.12930998820907535</v>
      </c>
      <c r="W104" s="48">
        <f t="shared" si="33"/>
        <v>5</v>
      </c>
      <c r="X104" s="48">
        <f t="shared" si="34"/>
        <v>-5</v>
      </c>
      <c r="Y104" s="48">
        <f t="shared" si="41"/>
        <v>-3.4536661388351347E-2</v>
      </c>
      <c r="Z104" s="48">
        <f>$B$5*SQRT(($B$4/(2-$B$4))*(1-(1-$B$4)^(2*94)))</f>
        <v>1</v>
      </c>
      <c r="AA104" s="48">
        <f t="shared" si="35"/>
        <v>-1</v>
      </c>
    </row>
    <row r="105" spans="1:27" x14ac:dyDescent="0.35">
      <c r="A105" s="53">
        <f>'Yazılım SW Hatası'!A96</f>
        <v>46197</v>
      </c>
      <c r="B105" s="48">
        <f>'Yazılım SW Hatası'!B96</f>
        <v>12</v>
      </c>
      <c r="C105" s="48">
        <f>'Yazılım SW Hatası'!C96</f>
        <v>0</v>
      </c>
      <c r="D105" s="48">
        <f t="shared" si="28"/>
        <v>0</v>
      </c>
      <c r="E105" s="48">
        <f>SQRT('Yazılım SW Hatası'!$D$148*(1-'Yazılım SW Hatası'!$D$148)/B105)</f>
        <v>2.0478818060352736E-2</v>
      </c>
      <c r="F105" s="48">
        <f>(D105-'Yazılım SW Hatası'!$D$148)/E105</f>
        <v>-0.24699515997143279</v>
      </c>
      <c r="G105" s="48">
        <f t="shared" si="36"/>
        <v>0</v>
      </c>
      <c r="H105" s="48">
        <f t="shared" si="37"/>
        <v>0</v>
      </c>
      <c r="I105" s="48">
        <f t="shared" si="29"/>
        <v>5</v>
      </c>
      <c r="J105" s="48">
        <f t="shared" si="30"/>
        <v>-5</v>
      </c>
      <c r="K105" s="48">
        <f t="shared" si="38"/>
        <v>-0.26288708342228134</v>
      </c>
      <c r="L105" s="48">
        <f>$B$5*SQRT(($B$4/(2-$B$4))*(1-(1-$B$4)^(2*95)))</f>
        <v>1</v>
      </c>
      <c r="M105" s="48">
        <f t="shared" si="31"/>
        <v>-1</v>
      </c>
      <c r="O105" s="53">
        <f>'Elektronik- Fonksiyon Hatası '!A96</f>
        <v>46197</v>
      </c>
      <c r="P105" s="48">
        <f>'Elektronik- Fonksiyon Hatası '!B96</f>
        <v>12</v>
      </c>
      <c r="Q105" s="48">
        <f>'Elektronik- Fonksiyon Hatası '!C96</f>
        <v>0</v>
      </c>
      <c r="R105" s="48">
        <f t="shared" si="32"/>
        <v>0</v>
      </c>
      <c r="S105" s="48">
        <f>SQRT('Elektronik- Fonksiyon Hatası '!$D$148*(1-'Elektronik- Fonksiyon Hatası '!$D$148)/P105)</f>
        <v>2.1902695085416087E-2</v>
      </c>
      <c r="T105" s="48">
        <f>(R105-'Elektronik- Fonksiyon Hatası '!$D$148)/S105</f>
        <v>-0.26436307295072098</v>
      </c>
      <c r="U105" s="48">
        <f t="shared" si="39"/>
        <v>0</v>
      </c>
      <c r="V105" s="48">
        <f t="shared" si="40"/>
        <v>0</v>
      </c>
      <c r="W105" s="48">
        <f t="shared" si="33"/>
        <v>5</v>
      </c>
      <c r="X105" s="48">
        <f t="shared" si="34"/>
        <v>-5</v>
      </c>
      <c r="Y105" s="48">
        <f t="shared" si="41"/>
        <v>-8.0501943700825279E-2</v>
      </c>
      <c r="Z105" s="48">
        <f>$B$5*SQRT(($B$4/(2-$B$4))*(1-(1-$B$4)^(2*95)))</f>
        <v>1</v>
      </c>
      <c r="AA105" s="48">
        <f t="shared" si="35"/>
        <v>-1</v>
      </c>
    </row>
    <row r="106" spans="1:27" x14ac:dyDescent="0.35">
      <c r="A106" s="53">
        <f>'Yazılım SW Hatası'!A97</f>
        <v>46198</v>
      </c>
      <c r="B106" s="48">
        <f>'Yazılım SW Hatası'!B97</f>
        <v>47</v>
      </c>
      <c r="C106" s="48">
        <f>'Yazılım SW Hatası'!C97</f>
        <v>0</v>
      </c>
      <c r="D106" s="48">
        <f t="shared" si="28"/>
        <v>0</v>
      </c>
      <c r="E106" s="48">
        <f>SQRT('Yazılım SW Hatası'!$D$148*(1-'Yazılım SW Hatası'!$D$148)/B106)</f>
        <v>1.0347765582418669E-2</v>
      </c>
      <c r="F106" s="48">
        <f>(D106-'Yazılım SW Hatası'!$D$148)/E106</f>
        <v>-0.48881750389057455</v>
      </c>
      <c r="G106" s="48">
        <f t="shared" si="36"/>
        <v>0</v>
      </c>
      <c r="H106" s="48">
        <f t="shared" si="37"/>
        <v>0</v>
      </c>
      <c r="I106" s="48">
        <f t="shared" si="29"/>
        <v>5</v>
      </c>
      <c r="J106" s="48">
        <f t="shared" si="30"/>
        <v>-5</v>
      </c>
      <c r="K106" s="48">
        <f t="shared" si="38"/>
        <v>-0.30807316751593999</v>
      </c>
      <c r="L106" s="48">
        <f>$B$5*SQRT(($B$4/(2-$B$4))*(1-(1-$B$4)^(2*96)))</f>
        <v>1</v>
      </c>
      <c r="M106" s="48">
        <f t="shared" si="31"/>
        <v>-1</v>
      </c>
      <c r="O106" s="53">
        <f>'Elektronik- Fonksiyon Hatası '!A97</f>
        <v>46198</v>
      </c>
      <c r="P106" s="48">
        <f>'Elektronik- Fonksiyon Hatası '!B97</f>
        <v>47</v>
      </c>
      <c r="Q106" s="48">
        <f>'Elektronik- Fonksiyon Hatası '!C97</f>
        <v>0</v>
      </c>
      <c r="R106" s="48">
        <f t="shared" si="32"/>
        <v>0</v>
      </c>
      <c r="S106" s="48">
        <f>SQRT('Elektronik- Fonksiyon Hatası '!$D$148*(1-'Elektronik- Fonksiyon Hatası '!$D$148)/P106)</f>
        <v>1.1067238045630416E-2</v>
      </c>
      <c r="T106" s="48">
        <f>(R106-'Elektronik- Fonksiyon Hatası '!$D$148)/S106</f>
        <v>-0.5231895938995702</v>
      </c>
      <c r="U106" s="48">
        <f t="shared" si="39"/>
        <v>0</v>
      </c>
      <c r="V106" s="48">
        <f t="shared" si="40"/>
        <v>2.3189593899570204E-2</v>
      </c>
      <c r="W106" s="48">
        <f t="shared" si="33"/>
        <v>5</v>
      </c>
      <c r="X106" s="48">
        <f t="shared" si="34"/>
        <v>-5</v>
      </c>
      <c r="Y106" s="48">
        <f t="shared" si="41"/>
        <v>-0.16903947374057426</v>
      </c>
      <c r="Z106" s="48">
        <f>$B$5*SQRT(($B$4/(2-$B$4))*(1-(1-$B$4)^(2*96)))</f>
        <v>1</v>
      </c>
      <c r="AA106" s="48">
        <f t="shared" si="35"/>
        <v>-1</v>
      </c>
    </row>
    <row r="107" spans="1:27" x14ac:dyDescent="0.35">
      <c r="A107" s="53">
        <f>'Yazılım SW Hatası'!A98</f>
        <v>46199</v>
      </c>
      <c r="B107" s="48">
        <f>'Yazılım SW Hatası'!B98</f>
        <v>3</v>
      </c>
      <c r="C107" s="48">
        <f>'Yazılım SW Hatası'!C98</f>
        <v>0</v>
      </c>
      <c r="D107" s="48">
        <f t="shared" ref="D107:D138" si="42">C107/B107</f>
        <v>0</v>
      </c>
      <c r="E107" s="48">
        <f>SQRT('Yazılım SW Hatası'!$D$148*(1-'Yazılım SW Hatası'!$D$148)/B107)</f>
        <v>4.0957636120705472E-2</v>
      </c>
      <c r="F107" s="48">
        <f>(D107-'Yazılım SW Hatası'!$D$148)/E107</f>
        <v>-0.12349757998571639</v>
      </c>
      <c r="G107" s="48">
        <f t="shared" si="36"/>
        <v>0</v>
      </c>
      <c r="H107" s="48">
        <f t="shared" si="37"/>
        <v>0</v>
      </c>
      <c r="I107" s="48">
        <f t="shared" ref="I107:I138" si="43">$B$3</f>
        <v>5</v>
      </c>
      <c r="J107" s="48">
        <f t="shared" ref="J107:J138" si="44">-$B$3</f>
        <v>-5</v>
      </c>
      <c r="K107" s="48">
        <f t="shared" si="38"/>
        <v>-0.27115805000989529</v>
      </c>
      <c r="L107" s="48">
        <f>$B$5*SQRT(($B$4/(2-$B$4))*(1-(1-$B$4)^(2*97)))</f>
        <v>1</v>
      </c>
      <c r="M107" s="48">
        <f t="shared" ref="M107:M138" si="45">-L107</f>
        <v>-1</v>
      </c>
      <c r="O107" s="53">
        <f>'Elektronik- Fonksiyon Hatası '!A98</f>
        <v>46199</v>
      </c>
      <c r="P107" s="48">
        <f>'Elektronik- Fonksiyon Hatası '!B98</f>
        <v>70</v>
      </c>
      <c r="Q107" s="48">
        <f>'Elektronik- Fonksiyon Hatası '!C98</f>
        <v>1</v>
      </c>
      <c r="R107" s="48">
        <f t="shared" ref="R107:R138" si="46">Q107/P107</f>
        <v>1.4285714285714285E-2</v>
      </c>
      <c r="S107" s="48">
        <f>SQRT('Elektronik- Fonksiyon Hatası '!$D$148*(1-'Elektronik- Fonksiyon Hatası '!$D$148)/P107)</f>
        <v>9.0685773211336106E-3</v>
      </c>
      <c r="T107" s="48">
        <f>(R107-'Elektronik- Fonksiyon Hatası '!$D$148)/S107</f>
        <v>0.93680080195523618</v>
      </c>
      <c r="U107" s="48">
        <f t="shared" si="39"/>
        <v>0.43680080195523618</v>
      </c>
      <c r="V107" s="48">
        <f t="shared" si="40"/>
        <v>0</v>
      </c>
      <c r="W107" s="48">
        <f t="shared" ref="W107:W138" si="47">$B$3</f>
        <v>5</v>
      </c>
      <c r="X107" s="48">
        <f t="shared" ref="X107:X138" si="48">-$B$3</f>
        <v>-5</v>
      </c>
      <c r="Y107" s="48">
        <f t="shared" si="41"/>
        <v>5.2128581398587837E-2</v>
      </c>
      <c r="Z107" s="48">
        <f>$B$5*SQRT(($B$4/(2-$B$4))*(1-(1-$B$4)^(2*97)))</f>
        <v>1</v>
      </c>
      <c r="AA107" s="48">
        <f t="shared" ref="AA107:AA138" si="49">-Z107</f>
        <v>-1</v>
      </c>
    </row>
    <row r="108" spans="1:27" x14ac:dyDescent="0.35">
      <c r="A108" s="53">
        <f>'Yazılım SW Hatası'!A99</f>
        <v>46203</v>
      </c>
      <c r="B108" s="48">
        <f>'Yazılım SW Hatası'!B99</f>
        <v>12</v>
      </c>
      <c r="C108" s="48">
        <f>'Yazılım SW Hatası'!C99</f>
        <v>0</v>
      </c>
      <c r="D108" s="48">
        <f t="shared" si="42"/>
        <v>0</v>
      </c>
      <c r="E108" s="48">
        <f>SQRT('Yazılım SW Hatası'!$D$148*(1-'Yazılım SW Hatası'!$D$148)/B108)</f>
        <v>2.0478818060352736E-2</v>
      </c>
      <c r="F108" s="48">
        <f>(D108-'Yazılım SW Hatası'!$D$148)/E108</f>
        <v>-0.24699515997143279</v>
      </c>
      <c r="G108" s="48">
        <f t="shared" ref="G108:G139" si="50">MAX(0,F108-$B$2+G107)</f>
        <v>0</v>
      </c>
      <c r="H108" s="48">
        <f t="shared" ref="H108:H139" si="51">MAX(0,-F108-$B$2+H107)</f>
        <v>0</v>
      </c>
      <c r="I108" s="48">
        <f t="shared" si="43"/>
        <v>5</v>
      </c>
      <c r="J108" s="48">
        <f t="shared" si="44"/>
        <v>-5</v>
      </c>
      <c r="K108" s="48">
        <f t="shared" ref="K108:K139" si="52">$B$4*F108+(1-$B$4)*K107</f>
        <v>-0.2663254720022028</v>
      </c>
      <c r="L108" s="48">
        <f>$B$5*SQRT(($B$4/(2-$B$4))*(1-(1-$B$4)^(2*98)))</f>
        <v>1</v>
      </c>
      <c r="M108" s="48">
        <f t="shared" si="45"/>
        <v>-1</v>
      </c>
      <c r="O108" s="53">
        <f>'Elektronik- Fonksiyon Hatası '!A99</f>
        <v>46203</v>
      </c>
      <c r="P108" s="48">
        <f>'Elektronik- Fonksiyon Hatası '!B99</f>
        <v>12</v>
      </c>
      <c r="Q108" s="48">
        <f>'Elektronik- Fonksiyon Hatası '!C99</f>
        <v>0</v>
      </c>
      <c r="R108" s="48">
        <f t="shared" si="46"/>
        <v>0</v>
      </c>
      <c r="S108" s="48">
        <f>SQRT('Elektronik- Fonksiyon Hatası '!$D$148*(1-'Elektronik- Fonksiyon Hatası '!$D$148)/P108)</f>
        <v>2.1902695085416087E-2</v>
      </c>
      <c r="T108" s="48">
        <f>(R108-'Elektronik- Fonksiyon Hatası '!$D$148)/S108</f>
        <v>-0.26436307295072098</v>
      </c>
      <c r="U108" s="48">
        <f t="shared" ref="U108:U139" si="53">MAX(0,T108-$B$2+U107)</f>
        <v>0</v>
      </c>
      <c r="V108" s="48">
        <f t="shared" ref="V108:V139" si="54">MAX(0,-T108-$B$2+V107)</f>
        <v>0</v>
      </c>
      <c r="W108" s="48">
        <f t="shared" si="47"/>
        <v>5</v>
      </c>
      <c r="X108" s="48">
        <f t="shared" si="48"/>
        <v>-5</v>
      </c>
      <c r="Y108" s="48">
        <f t="shared" ref="Y108:Y139" si="55">$B$4*T108+(1-$B$4)*Y107</f>
        <v>-1.1169749471273922E-2</v>
      </c>
      <c r="Z108" s="48">
        <f>$B$5*SQRT(($B$4/(2-$B$4))*(1-(1-$B$4)^(2*98)))</f>
        <v>1</v>
      </c>
      <c r="AA108" s="48">
        <f t="shared" si="49"/>
        <v>-1</v>
      </c>
    </row>
    <row r="109" spans="1:27" x14ac:dyDescent="0.35">
      <c r="A109" s="53">
        <f>'Yazılım SW Hatası'!A100</f>
        <v>46205</v>
      </c>
      <c r="B109" s="48">
        <f>'Yazılım SW Hatası'!B100</f>
        <v>16</v>
      </c>
      <c r="C109" s="48">
        <f>'Yazılım SW Hatası'!C100</f>
        <v>0</v>
      </c>
      <c r="D109" s="48">
        <f t="shared" si="42"/>
        <v>0</v>
      </c>
      <c r="E109" s="48">
        <f>SQRT('Yazılım SW Hatası'!$D$148*(1-'Yazılım SW Hatası'!$D$148)/B109)</f>
        <v>1.7735176679745033E-2</v>
      </c>
      <c r="F109" s="48">
        <f>(D109-'Yazılım SW Hatası'!$D$148)/E109</f>
        <v>-0.28520544419608279</v>
      </c>
      <c r="G109" s="48">
        <f t="shared" si="50"/>
        <v>0</v>
      </c>
      <c r="H109" s="48">
        <f t="shared" si="51"/>
        <v>0</v>
      </c>
      <c r="I109" s="48">
        <f t="shared" si="43"/>
        <v>5</v>
      </c>
      <c r="J109" s="48">
        <f t="shared" si="44"/>
        <v>-5</v>
      </c>
      <c r="K109" s="48">
        <f t="shared" si="52"/>
        <v>-0.27010146644097882</v>
      </c>
      <c r="L109" s="48">
        <f>$B$5*SQRT(($B$4/(2-$B$4))*(1-(1-$B$4)^(2*99)))</f>
        <v>1</v>
      </c>
      <c r="M109" s="48">
        <f t="shared" si="45"/>
        <v>-1</v>
      </c>
      <c r="O109" s="53">
        <f>'Elektronik- Fonksiyon Hatası '!A100</f>
        <v>46205</v>
      </c>
      <c r="P109" s="48">
        <f>'Elektronik- Fonksiyon Hatası '!B100</f>
        <v>16</v>
      </c>
      <c r="Q109" s="48">
        <f>'Elektronik- Fonksiyon Hatası '!C100</f>
        <v>0</v>
      </c>
      <c r="R109" s="48">
        <f t="shared" si="46"/>
        <v>0</v>
      </c>
      <c r="S109" s="48">
        <f>SQRT('Elektronik- Fonksiyon Hatası '!$D$148*(1-'Elektronik- Fonksiyon Hatası '!$D$148)/P109)</f>
        <v>1.8968290355314905E-2</v>
      </c>
      <c r="T109" s="48">
        <f>(R109-'Elektronik- Fonksiyon Hatası '!$D$148)/S109</f>
        <v>-0.3052601826637909</v>
      </c>
      <c r="U109" s="48">
        <f t="shared" si="53"/>
        <v>0</v>
      </c>
      <c r="V109" s="48">
        <f t="shared" si="54"/>
        <v>0</v>
      </c>
      <c r="W109" s="48">
        <f t="shared" si="47"/>
        <v>5</v>
      </c>
      <c r="X109" s="48">
        <f t="shared" si="48"/>
        <v>-5</v>
      </c>
      <c r="Y109" s="48">
        <f t="shared" si="55"/>
        <v>-6.9987836109777324E-2</v>
      </c>
      <c r="Z109" s="48">
        <f>$B$5*SQRT(($B$4/(2-$B$4))*(1-(1-$B$4)^(2*99)))</f>
        <v>1</v>
      </c>
      <c r="AA109" s="48">
        <f t="shared" si="49"/>
        <v>-1</v>
      </c>
    </row>
    <row r="110" spans="1:27" x14ac:dyDescent="0.35">
      <c r="A110" s="53">
        <f>'Yazılım SW Hatası'!A101</f>
        <v>46206</v>
      </c>
      <c r="B110" s="48">
        <f>'Yazılım SW Hatası'!B101</f>
        <v>27</v>
      </c>
      <c r="C110" s="48">
        <f>'Yazılım SW Hatası'!C101</f>
        <v>0</v>
      </c>
      <c r="D110" s="48">
        <f t="shared" si="42"/>
        <v>0</v>
      </c>
      <c r="E110" s="48">
        <f>SQRT('Yazılım SW Hatası'!$D$148*(1-'Yazılım SW Hatası'!$D$148)/B110)</f>
        <v>1.3652545373568491E-2</v>
      </c>
      <c r="F110" s="48">
        <f>(D110-'Yazılım SW Hatası'!$D$148)/E110</f>
        <v>-0.37049273995714921</v>
      </c>
      <c r="G110" s="48">
        <f t="shared" si="50"/>
        <v>0</v>
      </c>
      <c r="H110" s="48">
        <f t="shared" si="51"/>
        <v>0</v>
      </c>
      <c r="I110" s="48">
        <f t="shared" si="43"/>
        <v>5</v>
      </c>
      <c r="J110" s="48">
        <f t="shared" si="44"/>
        <v>-5</v>
      </c>
      <c r="K110" s="48">
        <f t="shared" si="52"/>
        <v>-0.29017972114421292</v>
      </c>
      <c r="L110" s="48">
        <f>$B$5*SQRT(($B$4/(2-$B$4))*(1-(1-$B$4)^(2*100)))</f>
        <v>1</v>
      </c>
      <c r="M110" s="48">
        <f t="shared" si="45"/>
        <v>-1</v>
      </c>
      <c r="O110" s="53">
        <f>'Elektronik- Fonksiyon Hatası '!A101</f>
        <v>46206</v>
      </c>
      <c r="P110" s="48">
        <f>'Elektronik- Fonksiyon Hatası '!B101</f>
        <v>27</v>
      </c>
      <c r="Q110" s="48">
        <f>'Elektronik- Fonksiyon Hatası '!C101</f>
        <v>0</v>
      </c>
      <c r="R110" s="48">
        <f t="shared" si="46"/>
        <v>0</v>
      </c>
      <c r="S110" s="48">
        <f>SQRT('Elektronik- Fonksiyon Hatası '!$D$148*(1-'Elektronik- Fonksiyon Hatası '!$D$148)/P110)</f>
        <v>1.4601796723610724E-2</v>
      </c>
      <c r="T110" s="48">
        <f>(R110-'Elektronik- Fonksiyon Hatası '!$D$148)/S110</f>
        <v>-0.3965446094260815</v>
      </c>
      <c r="U110" s="48">
        <f t="shared" si="53"/>
        <v>0</v>
      </c>
      <c r="V110" s="48">
        <f t="shared" si="54"/>
        <v>0</v>
      </c>
      <c r="W110" s="48">
        <f t="shared" si="47"/>
        <v>5</v>
      </c>
      <c r="X110" s="48">
        <f t="shared" si="48"/>
        <v>-5</v>
      </c>
      <c r="Y110" s="48">
        <f t="shared" si="55"/>
        <v>-0.13529919077303817</v>
      </c>
      <c r="Z110" s="48">
        <f>$B$5*SQRT(($B$4/(2-$B$4))*(1-(1-$B$4)^(2*100)))</f>
        <v>1</v>
      </c>
      <c r="AA110" s="48">
        <f t="shared" si="49"/>
        <v>-1</v>
      </c>
    </row>
    <row r="111" spans="1:27" x14ac:dyDescent="0.35">
      <c r="A111" s="53">
        <f>'Yazılım SW Hatası'!A102</f>
        <v>46207</v>
      </c>
      <c r="B111" s="48">
        <f>'Yazılım SW Hatası'!B102</f>
        <v>224</v>
      </c>
      <c r="C111" s="48">
        <f>'Yazılım SW Hatası'!C102</f>
        <v>2</v>
      </c>
      <c r="D111" s="48">
        <f t="shared" si="42"/>
        <v>8.9285714285714281E-3</v>
      </c>
      <c r="E111" s="48">
        <f>SQRT('Yazılım SW Hatası'!$D$148*(1-'Yazılım SW Hatası'!$D$148)/B111)</f>
        <v>4.7399253449649245E-3</v>
      </c>
      <c r="F111" s="48">
        <f>(D111-'Yazılım SW Hatası'!$D$148)/E111</f>
        <v>0.81655346952671848</v>
      </c>
      <c r="G111" s="48">
        <f t="shared" si="50"/>
        <v>0.31655346952671848</v>
      </c>
      <c r="H111" s="48">
        <f t="shared" si="51"/>
        <v>0</v>
      </c>
      <c r="I111" s="48">
        <f t="shared" si="43"/>
        <v>5</v>
      </c>
      <c r="J111" s="48">
        <f t="shared" si="44"/>
        <v>-5</v>
      </c>
      <c r="K111" s="48">
        <f t="shared" si="52"/>
        <v>-6.8833083010026663E-2</v>
      </c>
      <c r="L111" s="48">
        <f>$B$5*SQRT(($B$4/(2-$B$4))*(1-(1-$B$4)^(2*101)))</f>
        <v>1</v>
      </c>
      <c r="M111" s="48">
        <f t="shared" si="45"/>
        <v>-1</v>
      </c>
      <c r="O111" s="53">
        <f>'Elektronik- Fonksiyon Hatası '!A102</f>
        <v>46207</v>
      </c>
      <c r="P111" s="48">
        <f>'Elektronik- Fonksiyon Hatası '!B102</f>
        <v>224</v>
      </c>
      <c r="Q111" s="48">
        <f>'Elektronik- Fonksiyon Hatası '!C102</f>
        <v>0</v>
      </c>
      <c r="R111" s="48">
        <f t="shared" si="46"/>
        <v>0</v>
      </c>
      <c r="S111" s="48">
        <f>SQRT('Elektronik- Fonksiyon Hatası '!$D$148*(1-'Elektronik- Fonksiyon Hatası '!$D$148)/P111)</f>
        <v>5.0694888373169229E-3</v>
      </c>
      <c r="T111" s="48">
        <f>(R111-'Elektronik- Fonksiyon Hatası '!$D$148)/S111</f>
        <v>-1.1421790173519359</v>
      </c>
      <c r="U111" s="48">
        <f t="shared" si="53"/>
        <v>0</v>
      </c>
      <c r="V111" s="48">
        <f t="shared" si="54"/>
        <v>0.64217901735193594</v>
      </c>
      <c r="W111" s="48">
        <f t="shared" si="47"/>
        <v>5</v>
      </c>
      <c r="X111" s="48">
        <f t="shared" si="48"/>
        <v>-5</v>
      </c>
      <c r="Y111" s="48">
        <f t="shared" si="55"/>
        <v>-0.33667515608881771</v>
      </c>
      <c r="Z111" s="48">
        <f>$B$5*SQRT(($B$4/(2-$B$4))*(1-(1-$B$4)^(2*101)))</f>
        <v>1</v>
      </c>
      <c r="AA111" s="48">
        <f t="shared" si="49"/>
        <v>-1</v>
      </c>
    </row>
    <row r="112" spans="1:27" x14ac:dyDescent="0.35">
      <c r="A112" s="53">
        <f>'Yazılım SW Hatası'!A103</f>
        <v>46209</v>
      </c>
      <c r="B112" s="48">
        <f>'Yazılım SW Hatası'!B103</f>
        <v>24</v>
      </c>
      <c r="C112" s="48">
        <f>'Yazılım SW Hatası'!C103</f>
        <v>0</v>
      </c>
      <c r="D112" s="48">
        <f t="shared" si="42"/>
        <v>0</v>
      </c>
      <c r="E112" s="48">
        <f>SQRT('Yazılım SW Hatası'!$D$148*(1-'Yazılım SW Hatası'!$D$148)/B112)</f>
        <v>1.448071112116096E-2</v>
      </c>
      <c r="F112" s="48">
        <f>(D112-'Yazılım SW Hatası'!$D$148)/E112</f>
        <v>-0.34930390507211245</v>
      </c>
      <c r="G112" s="48">
        <f t="shared" si="50"/>
        <v>0</v>
      </c>
      <c r="H112" s="48">
        <f t="shared" si="51"/>
        <v>0</v>
      </c>
      <c r="I112" s="48">
        <f t="shared" si="43"/>
        <v>5</v>
      </c>
      <c r="J112" s="48">
        <f t="shared" si="44"/>
        <v>-5</v>
      </c>
      <c r="K112" s="48">
        <f t="shared" si="52"/>
        <v>-0.12492724742244382</v>
      </c>
      <c r="L112" s="48">
        <f>$B$5*SQRT(($B$4/(2-$B$4))*(1-(1-$B$4)^(2*102)))</f>
        <v>1</v>
      </c>
      <c r="M112" s="48">
        <f t="shared" si="45"/>
        <v>-1</v>
      </c>
      <c r="O112" s="53">
        <f>'Elektronik- Fonksiyon Hatası '!A103</f>
        <v>46209</v>
      </c>
      <c r="P112" s="48">
        <f>'Elektronik- Fonksiyon Hatası '!B103</f>
        <v>24</v>
      </c>
      <c r="Q112" s="48">
        <f>'Elektronik- Fonksiyon Hatası '!C103</f>
        <v>0</v>
      </c>
      <c r="R112" s="48">
        <f t="shared" si="46"/>
        <v>0</v>
      </c>
      <c r="S112" s="48">
        <f>SQRT('Elektronik- Fonksiyon Hatası '!$D$148*(1-'Elektronik- Fonksiyon Hatası '!$D$148)/P112)</f>
        <v>1.5487544221158982E-2</v>
      </c>
      <c r="T112" s="48">
        <f>(R112-'Elektronik- Fonksiyon Hatası '!$D$148)/S112</f>
        <v>-0.37386584315753757</v>
      </c>
      <c r="U112" s="48">
        <f t="shared" si="53"/>
        <v>0</v>
      </c>
      <c r="V112" s="48">
        <f t="shared" si="54"/>
        <v>0.51604486050947351</v>
      </c>
      <c r="W112" s="48">
        <f t="shared" si="47"/>
        <v>5</v>
      </c>
      <c r="X112" s="48">
        <f t="shared" si="48"/>
        <v>-5</v>
      </c>
      <c r="Y112" s="48">
        <f t="shared" si="55"/>
        <v>-0.3441132935025617</v>
      </c>
      <c r="Z112" s="48">
        <f>$B$5*SQRT(($B$4/(2-$B$4))*(1-(1-$B$4)^(2*102)))</f>
        <v>1</v>
      </c>
      <c r="AA112" s="48">
        <f t="shared" si="49"/>
        <v>-1</v>
      </c>
    </row>
    <row r="113" spans="1:27" x14ac:dyDescent="0.35">
      <c r="A113" s="53">
        <f>'Yazılım SW Hatası'!A104</f>
        <v>46210</v>
      </c>
      <c r="B113" s="48">
        <f>'Yazılım SW Hatası'!B104</f>
        <v>11</v>
      </c>
      <c r="C113" s="48">
        <f>'Yazılım SW Hatası'!C104</f>
        <v>0</v>
      </c>
      <c r="D113" s="48">
        <f t="shared" si="42"/>
        <v>0</v>
      </c>
      <c r="E113" s="48">
        <f>SQRT('Yazılım SW Hatası'!$D$148*(1-'Yazılım SW Hatası'!$D$148)/B113)</f>
        <v>2.1389427868136489E-2</v>
      </c>
      <c r="F113" s="48">
        <f>(D113-'Yazılım SW Hatası'!$D$148)/E113</f>
        <v>-0.23647986164126297</v>
      </c>
      <c r="G113" s="48">
        <f t="shared" si="50"/>
        <v>0</v>
      </c>
      <c r="H113" s="48">
        <f t="shared" si="51"/>
        <v>0</v>
      </c>
      <c r="I113" s="48">
        <f t="shared" si="43"/>
        <v>5</v>
      </c>
      <c r="J113" s="48">
        <f t="shared" si="44"/>
        <v>-5</v>
      </c>
      <c r="K113" s="48">
        <f t="shared" si="52"/>
        <v>-0.14723777026620766</v>
      </c>
      <c r="L113" s="48">
        <f>$B$5*SQRT(($B$4/(2-$B$4))*(1-(1-$B$4)^(2*103)))</f>
        <v>1</v>
      </c>
      <c r="M113" s="48">
        <f t="shared" si="45"/>
        <v>-1</v>
      </c>
      <c r="O113" s="53">
        <f>'Elektronik- Fonksiyon Hatası '!A104</f>
        <v>46210</v>
      </c>
      <c r="P113" s="48">
        <f>'Elektronik- Fonksiyon Hatası '!B104</f>
        <v>11</v>
      </c>
      <c r="Q113" s="48">
        <f>'Elektronik- Fonksiyon Hatası '!C104</f>
        <v>0</v>
      </c>
      <c r="R113" s="48">
        <f t="shared" si="46"/>
        <v>0</v>
      </c>
      <c r="S113" s="48">
        <f>SQRT('Elektronik- Fonksiyon Hatası '!$D$148*(1-'Elektronik- Fonksiyon Hatası '!$D$148)/P113)</f>
        <v>2.287661891748969E-2</v>
      </c>
      <c r="T113" s="48">
        <f>(R113-'Elektronik- Fonksiyon Hatası '!$D$148)/S113</f>
        <v>-0.25310837233278666</v>
      </c>
      <c r="U113" s="48">
        <f t="shared" si="53"/>
        <v>0</v>
      </c>
      <c r="V113" s="48">
        <f t="shared" si="54"/>
        <v>0.26915323284226017</v>
      </c>
      <c r="W113" s="48">
        <f t="shared" si="47"/>
        <v>5</v>
      </c>
      <c r="X113" s="48">
        <f t="shared" si="48"/>
        <v>-5</v>
      </c>
      <c r="Y113" s="48">
        <f t="shared" si="55"/>
        <v>-0.3259123092686067</v>
      </c>
      <c r="Z113" s="48">
        <f>$B$5*SQRT(($B$4/(2-$B$4))*(1-(1-$B$4)^(2*103)))</f>
        <v>1</v>
      </c>
      <c r="AA113" s="48">
        <f t="shared" si="49"/>
        <v>-1</v>
      </c>
    </row>
    <row r="114" spans="1:27" x14ac:dyDescent="0.35">
      <c r="A114" s="53">
        <f>'Yazılım SW Hatası'!A105</f>
        <v>46211</v>
      </c>
      <c r="B114" s="48">
        <f>'Yazılım SW Hatası'!B105</f>
        <v>60</v>
      </c>
      <c r="C114" s="48">
        <f>'Yazılım SW Hatası'!C105</f>
        <v>0</v>
      </c>
      <c r="D114" s="48">
        <f t="shared" si="42"/>
        <v>0</v>
      </c>
      <c r="E114" s="48">
        <f>SQRT('Yazılım SW Hatası'!$D$148*(1-'Yazılım SW Hatası'!$D$148)/B114)</f>
        <v>9.1584058563598213E-3</v>
      </c>
      <c r="F114" s="48">
        <f>(D114-'Yazılım SW Hatası'!$D$148)/E114</f>
        <v>-0.55229796780955875</v>
      </c>
      <c r="G114" s="48">
        <f t="shared" si="50"/>
        <v>0</v>
      </c>
      <c r="H114" s="48">
        <f t="shared" si="51"/>
        <v>5.2297967809558754E-2</v>
      </c>
      <c r="I114" s="48">
        <f t="shared" si="43"/>
        <v>5</v>
      </c>
      <c r="J114" s="48">
        <f t="shared" si="44"/>
        <v>-5</v>
      </c>
      <c r="K114" s="48">
        <f t="shared" si="52"/>
        <v>-0.22824980977487791</v>
      </c>
      <c r="L114" s="48">
        <f>$B$5*SQRT(($B$4/(2-$B$4))*(1-(1-$B$4)^(2*104)))</f>
        <v>1</v>
      </c>
      <c r="M114" s="48">
        <f t="shared" si="45"/>
        <v>-1</v>
      </c>
      <c r="O114" s="53">
        <f>'Elektronik- Fonksiyon Hatası '!A105</f>
        <v>46211</v>
      </c>
      <c r="P114" s="48">
        <f>'Elektronik- Fonksiyon Hatası '!B105</f>
        <v>60</v>
      </c>
      <c r="Q114" s="48">
        <f>'Elektronik- Fonksiyon Hatası '!C105</f>
        <v>0</v>
      </c>
      <c r="R114" s="48">
        <f t="shared" si="46"/>
        <v>0</v>
      </c>
      <c r="S114" s="48">
        <f>SQRT('Elektronik- Fonksiyon Hatası '!$D$148*(1-'Elektronik- Fonksiyon Hatası '!$D$148)/P114)</f>
        <v>9.7951830202881868E-3</v>
      </c>
      <c r="T114" s="48">
        <f>(R114-'Elektronik- Fonksiyon Hatası '!$D$148)/S114</f>
        <v>-0.59113380185854802</v>
      </c>
      <c r="U114" s="48">
        <f t="shared" si="53"/>
        <v>0</v>
      </c>
      <c r="V114" s="48">
        <f t="shared" si="54"/>
        <v>0.3602870347008082</v>
      </c>
      <c r="W114" s="48">
        <f t="shared" si="47"/>
        <v>5</v>
      </c>
      <c r="X114" s="48">
        <f t="shared" si="48"/>
        <v>-5</v>
      </c>
      <c r="Y114" s="48">
        <f t="shared" si="55"/>
        <v>-0.37895660778659496</v>
      </c>
      <c r="Z114" s="48">
        <f>$B$5*SQRT(($B$4/(2-$B$4))*(1-(1-$B$4)^(2*104)))</f>
        <v>1</v>
      </c>
      <c r="AA114" s="48">
        <f t="shared" si="49"/>
        <v>-1</v>
      </c>
    </row>
    <row r="115" spans="1:27" x14ac:dyDescent="0.35">
      <c r="A115" s="53">
        <f>'Yazılım SW Hatası'!A106</f>
        <v>46212</v>
      </c>
      <c r="B115" s="48">
        <f>'Yazılım SW Hatası'!B106</f>
        <v>41</v>
      </c>
      <c r="C115" s="48">
        <f>'Yazılım SW Hatası'!C106</f>
        <v>0</v>
      </c>
      <c r="D115" s="48">
        <f t="shared" si="42"/>
        <v>0</v>
      </c>
      <c r="E115" s="48">
        <f>SQRT('Yazılım SW Hatası'!$D$148*(1-'Yazılım SW Hatası'!$D$148)/B115)</f>
        <v>1.1079077039339439E-2</v>
      </c>
      <c r="F115" s="48">
        <f>(D115-'Yazılım SW Hatası'!$D$148)/E115</f>
        <v>-0.45655147309493488</v>
      </c>
      <c r="G115" s="48">
        <f t="shared" si="50"/>
        <v>0</v>
      </c>
      <c r="H115" s="48">
        <f t="shared" si="51"/>
        <v>8.8494409044936329E-3</v>
      </c>
      <c r="I115" s="48">
        <f t="shared" si="43"/>
        <v>5</v>
      </c>
      <c r="J115" s="48">
        <f t="shared" si="44"/>
        <v>-5</v>
      </c>
      <c r="K115" s="48">
        <f t="shared" si="52"/>
        <v>-0.27391014243888934</v>
      </c>
      <c r="L115" s="48">
        <f>$B$5*SQRT(($B$4/(2-$B$4))*(1-(1-$B$4)^(2*105)))</f>
        <v>1</v>
      </c>
      <c r="M115" s="48">
        <f t="shared" si="45"/>
        <v>-1</v>
      </c>
      <c r="O115" s="53">
        <f>'Elektronik- Fonksiyon Hatası '!A106</f>
        <v>46212</v>
      </c>
      <c r="P115" s="48">
        <f>'Elektronik- Fonksiyon Hatası '!B106</f>
        <v>41</v>
      </c>
      <c r="Q115" s="48">
        <f>'Elektronik- Fonksiyon Hatası '!C106</f>
        <v>0</v>
      </c>
      <c r="R115" s="48">
        <f t="shared" si="46"/>
        <v>0</v>
      </c>
      <c r="S115" s="48">
        <f>SQRT('Elektronik- Fonksiyon Hatası '!$D$148*(1-'Elektronik- Fonksiyon Hatası '!$D$148)/P115)</f>
        <v>1.1849397045539571E-2</v>
      </c>
      <c r="T115" s="48">
        <f>(R115-'Elektronik- Fonksiyon Hatası '!$D$148)/S115</f>
        <v>-0.48865471858442455</v>
      </c>
      <c r="U115" s="48">
        <f t="shared" si="53"/>
        <v>0</v>
      </c>
      <c r="V115" s="48">
        <f t="shared" si="54"/>
        <v>0.34894175328523275</v>
      </c>
      <c r="W115" s="48">
        <f t="shared" si="47"/>
        <v>5</v>
      </c>
      <c r="X115" s="48">
        <f t="shared" si="48"/>
        <v>-5</v>
      </c>
      <c r="Y115" s="48">
        <f t="shared" si="55"/>
        <v>-0.40089622994616086</v>
      </c>
      <c r="Z115" s="48">
        <f>$B$5*SQRT(($B$4/(2-$B$4))*(1-(1-$B$4)^(2*105)))</f>
        <v>1</v>
      </c>
      <c r="AA115" s="48">
        <f t="shared" si="49"/>
        <v>-1</v>
      </c>
    </row>
    <row r="116" spans="1:27" x14ac:dyDescent="0.35">
      <c r="A116" s="53">
        <f>'Yazılım SW Hatası'!A107</f>
        <v>46213</v>
      </c>
      <c r="B116" s="48">
        <f>'Yazılım SW Hatası'!B107</f>
        <v>4</v>
      </c>
      <c r="C116" s="48">
        <f>'Yazılım SW Hatası'!C107</f>
        <v>0</v>
      </c>
      <c r="D116" s="48">
        <f t="shared" si="42"/>
        <v>0</v>
      </c>
      <c r="E116" s="48">
        <f>SQRT('Yazılım SW Hatası'!$D$148*(1-'Yazılım SW Hatası'!$D$148)/B116)</f>
        <v>3.5470353359490066E-2</v>
      </c>
      <c r="F116" s="48">
        <f>(D116-'Yazılım SW Hatası'!$D$148)/E116</f>
        <v>-0.1426027220980414</v>
      </c>
      <c r="G116" s="48">
        <f t="shared" si="50"/>
        <v>0</v>
      </c>
      <c r="H116" s="48">
        <f t="shared" si="51"/>
        <v>0</v>
      </c>
      <c r="I116" s="48">
        <f t="shared" si="43"/>
        <v>5</v>
      </c>
      <c r="J116" s="48">
        <f t="shared" si="44"/>
        <v>-5</v>
      </c>
      <c r="K116" s="48">
        <f t="shared" si="52"/>
        <v>-0.24764865837071975</v>
      </c>
      <c r="L116" s="48">
        <f>$B$5*SQRT(($B$4/(2-$B$4))*(1-(1-$B$4)^(2*106)))</f>
        <v>1</v>
      </c>
      <c r="M116" s="48">
        <f t="shared" si="45"/>
        <v>-1</v>
      </c>
      <c r="O116" s="53">
        <f>'Elektronik- Fonksiyon Hatası '!A107</f>
        <v>46213</v>
      </c>
      <c r="P116" s="48">
        <f>'Elektronik- Fonksiyon Hatası '!B107</f>
        <v>4</v>
      </c>
      <c r="Q116" s="48">
        <f>'Elektronik- Fonksiyon Hatası '!C107</f>
        <v>0</v>
      </c>
      <c r="R116" s="48">
        <f t="shared" si="46"/>
        <v>0</v>
      </c>
      <c r="S116" s="48">
        <f>SQRT('Elektronik- Fonksiyon Hatası '!$D$148*(1-'Elektronik- Fonksiyon Hatası '!$D$148)/P116)</f>
        <v>3.7936580710629809E-2</v>
      </c>
      <c r="T116" s="48">
        <f>(R116-'Elektronik- Fonksiyon Hatası '!$D$148)/S116</f>
        <v>-0.15263009133189545</v>
      </c>
      <c r="U116" s="48">
        <f t="shared" si="53"/>
        <v>0</v>
      </c>
      <c r="V116" s="48">
        <f t="shared" si="54"/>
        <v>1.5718446171281708E-3</v>
      </c>
      <c r="W116" s="48">
        <f t="shared" si="47"/>
        <v>5</v>
      </c>
      <c r="X116" s="48">
        <f t="shared" si="48"/>
        <v>-5</v>
      </c>
      <c r="Y116" s="48">
        <f t="shared" si="55"/>
        <v>-0.35124300222330779</v>
      </c>
      <c r="Z116" s="48">
        <f>$B$5*SQRT(($B$4/(2-$B$4))*(1-(1-$B$4)^(2*106)))</f>
        <v>1</v>
      </c>
      <c r="AA116" s="48">
        <f t="shared" si="49"/>
        <v>-1</v>
      </c>
    </row>
    <row r="117" spans="1:27" x14ac:dyDescent="0.35">
      <c r="A117" s="53">
        <f>'Yazılım SW Hatası'!A108</f>
        <v>46216</v>
      </c>
      <c r="B117" s="48">
        <f>'Yazılım SW Hatası'!B108</f>
        <v>3</v>
      </c>
      <c r="C117" s="48">
        <f>'Yazılım SW Hatası'!C108</f>
        <v>0</v>
      </c>
      <c r="D117" s="48">
        <f t="shared" si="42"/>
        <v>0</v>
      </c>
      <c r="E117" s="48">
        <f>SQRT('Yazılım SW Hatası'!$D$148*(1-'Yazılım SW Hatası'!$D$148)/B117)</f>
        <v>4.0957636120705472E-2</v>
      </c>
      <c r="F117" s="48">
        <f>(D117-'Yazılım SW Hatası'!$D$148)/E117</f>
        <v>-0.12349757998571639</v>
      </c>
      <c r="G117" s="48">
        <f t="shared" si="50"/>
        <v>0</v>
      </c>
      <c r="H117" s="48">
        <f t="shared" si="51"/>
        <v>0</v>
      </c>
      <c r="I117" s="48">
        <f t="shared" si="43"/>
        <v>5</v>
      </c>
      <c r="J117" s="48">
        <f t="shared" si="44"/>
        <v>-5</v>
      </c>
      <c r="K117" s="48">
        <f t="shared" si="52"/>
        <v>-0.22281844269371912</v>
      </c>
      <c r="L117" s="48">
        <f>$B$5*SQRT(($B$4/(2-$B$4))*(1-(1-$B$4)^(2*107)))</f>
        <v>1</v>
      </c>
      <c r="M117" s="48">
        <f t="shared" si="45"/>
        <v>-1</v>
      </c>
      <c r="O117" s="53">
        <f>'Elektronik- Fonksiyon Hatası '!A108</f>
        <v>46216</v>
      </c>
      <c r="P117" s="48">
        <f>'Elektronik- Fonksiyon Hatası '!B108</f>
        <v>3</v>
      </c>
      <c r="Q117" s="48">
        <f>'Elektronik- Fonksiyon Hatası '!C108</f>
        <v>0</v>
      </c>
      <c r="R117" s="48">
        <f t="shared" si="46"/>
        <v>0</v>
      </c>
      <c r="S117" s="48">
        <f>SQRT('Elektronik- Fonksiyon Hatası '!$D$148*(1-'Elektronik- Fonksiyon Hatası '!$D$148)/P117)</f>
        <v>4.3805390170832174E-2</v>
      </c>
      <c r="T117" s="48">
        <f>(R117-'Elektronik- Fonksiyon Hatası '!$D$148)/S117</f>
        <v>-0.13218153647536049</v>
      </c>
      <c r="U117" s="48">
        <f t="shared" si="53"/>
        <v>0</v>
      </c>
      <c r="V117" s="48">
        <f t="shared" si="54"/>
        <v>0</v>
      </c>
      <c r="W117" s="48">
        <f t="shared" si="47"/>
        <v>5</v>
      </c>
      <c r="X117" s="48">
        <f t="shared" si="48"/>
        <v>-5</v>
      </c>
      <c r="Y117" s="48">
        <f t="shared" si="55"/>
        <v>-0.30743070907371839</v>
      </c>
      <c r="Z117" s="48">
        <f>$B$5*SQRT(($B$4/(2-$B$4))*(1-(1-$B$4)^(2*107)))</f>
        <v>1</v>
      </c>
      <c r="AA117" s="48">
        <f t="shared" si="49"/>
        <v>-1</v>
      </c>
    </row>
    <row r="118" spans="1:27" x14ac:dyDescent="0.35">
      <c r="A118" s="53">
        <f>'Yazılım SW Hatası'!A109</f>
        <v>46217</v>
      </c>
      <c r="B118" s="48">
        <f>'Yazılım SW Hatası'!B109</f>
        <v>8</v>
      </c>
      <c r="C118" s="48">
        <f>'Yazılım SW Hatası'!C109</f>
        <v>0</v>
      </c>
      <c r="D118" s="48">
        <f t="shared" si="42"/>
        <v>0</v>
      </c>
      <c r="E118" s="48">
        <f>SQRT('Yazılım SW Hatası'!$D$148*(1-'Yazılım SW Hatası'!$D$148)/B118)</f>
        <v>2.5081327391578461E-2</v>
      </c>
      <c r="F118" s="48">
        <f>(D118-'Yazılım SW Hatası'!$D$148)/E118</f>
        <v>-0.20167070362237163</v>
      </c>
      <c r="G118" s="48">
        <f t="shared" si="50"/>
        <v>0</v>
      </c>
      <c r="H118" s="48">
        <f t="shared" si="51"/>
        <v>0</v>
      </c>
      <c r="I118" s="48">
        <f t="shared" si="43"/>
        <v>5</v>
      </c>
      <c r="J118" s="48">
        <f t="shared" si="44"/>
        <v>-5</v>
      </c>
      <c r="K118" s="48">
        <f t="shared" si="52"/>
        <v>-0.21858889487944963</v>
      </c>
      <c r="L118" s="48">
        <f>$B$5*SQRT(($B$4/(2-$B$4))*(1-(1-$B$4)^(2*108)))</f>
        <v>1</v>
      </c>
      <c r="M118" s="48">
        <f t="shared" si="45"/>
        <v>-1</v>
      </c>
      <c r="O118" s="53">
        <f>'Elektronik- Fonksiyon Hatası '!A109</f>
        <v>46217</v>
      </c>
      <c r="P118" s="48">
        <f>'Elektronik- Fonksiyon Hatası '!B109</f>
        <v>8</v>
      </c>
      <c r="Q118" s="48">
        <f>'Elektronik- Fonksiyon Hatası '!C109</f>
        <v>0</v>
      </c>
      <c r="R118" s="48">
        <f t="shared" si="46"/>
        <v>0</v>
      </c>
      <c r="S118" s="48">
        <f>SQRT('Elektronik- Fonksiyon Hatası '!$D$148*(1-'Elektronik- Fonksiyon Hatası '!$D$148)/P118)</f>
        <v>2.6825213475517112E-2</v>
      </c>
      <c r="T118" s="48">
        <f>(R118-'Elektronik- Fonksiyon Hatası '!$D$148)/S118</f>
        <v>-0.21585154518781072</v>
      </c>
      <c r="U118" s="48">
        <f t="shared" si="53"/>
        <v>0</v>
      </c>
      <c r="V118" s="48">
        <f t="shared" si="54"/>
        <v>0</v>
      </c>
      <c r="W118" s="48">
        <f t="shared" si="47"/>
        <v>5</v>
      </c>
      <c r="X118" s="48">
        <f t="shared" si="48"/>
        <v>-5</v>
      </c>
      <c r="Y118" s="48">
        <f t="shared" si="55"/>
        <v>-0.28911487629653687</v>
      </c>
      <c r="Z118" s="48">
        <f>$B$5*SQRT(($B$4/(2-$B$4))*(1-(1-$B$4)^(2*108)))</f>
        <v>1</v>
      </c>
      <c r="AA118" s="48">
        <f t="shared" si="49"/>
        <v>-1</v>
      </c>
    </row>
    <row r="119" spans="1:27" x14ac:dyDescent="0.35">
      <c r="A119" s="53">
        <f>'Yazılım SW Hatası'!A110</f>
        <v>46219</v>
      </c>
      <c r="B119" s="48">
        <f>'Yazılım SW Hatası'!B110</f>
        <v>40</v>
      </c>
      <c r="C119" s="48">
        <f>'Yazılım SW Hatası'!C110</f>
        <v>0</v>
      </c>
      <c r="D119" s="48">
        <f t="shared" si="42"/>
        <v>0</v>
      </c>
      <c r="E119" s="48">
        <f>SQRT('Yazılım SW Hatası'!$D$148*(1-'Yazılım SW Hatası'!$D$148)/B119)</f>
        <v>1.1216710602699386E-2</v>
      </c>
      <c r="F119" s="48">
        <f>(D119-'Yazılım SW Hatası'!$D$148)/E119</f>
        <v>-0.45094940236983599</v>
      </c>
      <c r="G119" s="48">
        <f t="shared" si="50"/>
        <v>0</v>
      </c>
      <c r="H119" s="48">
        <f t="shared" si="51"/>
        <v>0</v>
      </c>
      <c r="I119" s="48">
        <f t="shared" si="43"/>
        <v>5</v>
      </c>
      <c r="J119" s="48">
        <f t="shared" si="44"/>
        <v>-5</v>
      </c>
      <c r="K119" s="48">
        <f t="shared" si="52"/>
        <v>-0.26506099637752689</v>
      </c>
      <c r="L119" s="48">
        <f>$B$5*SQRT(($B$4/(2-$B$4))*(1-(1-$B$4)^(2*109)))</f>
        <v>1</v>
      </c>
      <c r="M119" s="48">
        <f t="shared" si="45"/>
        <v>-1</v>
      </c>
      <c r="O119" s="53">
        <f>'Elektronik- Fonksiyon Hatası '!A110</f>
        <v>46219</v>
      </c>
      <c r="P119" s="48">
        <f>'Elektronik- Fonksiyon Hatası '!B110</f>
        <v>40</v>
      </c>
      <c r="Q119" s="48">
        <f>'Elektronik- Fonksiyon Hatası '!C110</f>
        <v>0</v>
      </c>
      <c r="R119" s="48">
        <f t="shared" si="46"/>
        <v>0</v>
      </c>
      <c r="S119" s="48">
        <f>SQRT('Elektronik- Fonksiyon Hatası '!$D$148*(1-'Elektronik- Fonksiyon Hatası '!$D$148)/P119)</f>
        <v>1.199660016843993E-2</v>
      </c>
      <c r="T119" s="48">
        <f>(R119-'Elektronik- Fonksiyon Hatası '!$D$148)/S119</f>
        <v>-0.48265872808831239</v>
      </c>
      <c r="U119" s="48">
        <f t="shared" si="53"/>
        <v>0</v>
      </c>
      <c r="V119" s="48">
        <f t="shared" si="54"/>
        <v>0</v>
      </c>
      <c r="W119" s="48">
        <f t="shared" si="47"/>
        <v>5</v>
      </c>
      <c r="X119" s="48">
        <f t="shared" si="48"/>
        <v>-5</v>
      </c>
      <c r="Y119" s="48">
        <f t="shared" si="55"/>
        <v>-0.327823646654892</v>
      </c>
      <c r="Z119" s="48">
        <f>$B$5*SQRT(($B$4/(2-$B$4))*(1-(1-$B$4)^(2*109)))</f>
        <v>1</v>
      </c>
      <c r="AA119" s="48">
        <f t="shared" si="49"/>
        <v>-1</v>
      </c>
    </row>
    <row r="120" spans="1:27" x14ac:dyDescent="0.35">
      <c r="A120" s="53">
        <f>'Yazılım SW Hatası'!A111</f>
        <v>46220</v>
      </c>
      <c r="B120" s="48">
        <f>'Yazılım SW Hatası'!B111</f>
        <v>9</v>
      </c>
      <c r="C120" s="48">
        <f>'Yazılım SW Hatası'!C111</f>
        <v>0</v>
      </c>
      <c r="D120" s="48">
        <f t="shared" si="42"/>
        <v>0</v>
      </c>
      <c r="E120" s="48">
        <f>SQRT('Yazılım SW Hatası'!$D$148*(1-'Yazılım SW Hatası'!$D$148)/B120)</f>
        <v>2.3646902239660043E-2</v>
      </c>
      <c r="F120" s="48">
        <f>(D120-'Yazılım SW Hatası'!$D$148)/E120</f>
        <v>-0.21390408314706211</v>
      </c>
      <c r="G120" s="48">
        <f t="shared" si="50"/>
        <v>0</v>
      </c>
      <c r="H120" s="48">
        <f t="shared" si="51"/>
        <v>0</v>
      </c>
      <c r="I120" s="48">
        <f t="shared" si="43"/>
        <v>5</v>
      </c>
      <c r="J120" s="48">
        <f t="shared" si="44"/>
        <v>-5</v>
      </c>
      <c r="K120" s="48">
        <f t="shared" si="52"/>
        <v>-0.25482961373143392</v>
      </c>
      <c r="L120" s="48">
        <f>$B$5*SQRT(($B$4/(2-$B$4))*(1-(1-$B$4)^(2*110)))</f>
        <v>1</v>
      </c>
      <c r="M120" s="48">
        <f t="shared" si="45"/>
        <v>-1</v>
      </c>
      <c r="O120" s="53">
        <f>'Elektronik- Fonksiyon Hatası '!A111</f>
        <v>46220</v>
      </c>
      <c r="P120" s="48">
        <f>'Elektronik- Fonksiyon Hatası '!B111</f>
        <v>9</v>
      </c>
      <c r="Q120" s="48">
        <f>'Elektronik- Fonksiyon Hatası '!C111</f>
        <v>0</v>
      </c>
      <c r="R120" s="48">
        <f t="shared" si="46"/>
        <v>0</v>
      </c>
      <c r="S120" s="48">
        <f>SQRT('Elektronik- Fonksiyon Hatası '!$D$148*(1-'Elektronik- Fonksiyon Hatası '!$D$148)/P120)</f>
        <v>2.5291053807086541E-2</v>
      </c>
      <c r="T120" s="48">
        <f>(R120-'Elektronik- Fonksiyon Hatası '!$D$148)/S120</f>
        <v>-0.22894513699784316</v>
      </c>
      <c r="U120" s="48">
        <f t="shared" si="53"/>
        <v>0</v>
      </c>
      <c r="V120" s="48">
        <f t="shared" si="54"/>
        <v>0</v>
      </c>
      <c r="W120" s="48">
        <f t="shared" si="47"/>
        <v>5</v>
      </c>
      <c r="X120" s="48">
        <f t="shared" si="48"/>
        <v>-5</v>
      </c>
      <c r="Y120" s="48">
        <f t="shared" si="55"/>
        <v>-0.30804794472348224</v>
      </c>
      <c r="Z120" s="48">
        <f>$B$5*SQRT(($B$4/(2-$B$4))*(1-(1-$B$4)^(2*110)))</f>
        <v>1</v>
      </c>
      <c r="AA120" s="48">
        <f t="shared" si="49"/>
        <v>-1</v>
      </c>
    </row>
    <row r="121" spans="1:27" x14ac:dyDescent="0.35">
      <c r="A121" s="53">
        <f>'Yazılım SW Hatası'!A112</f>
        <v>46221</v>
      </c>
      <c r="B121" s="48">
        <f>'Yazılım SW Hatası'!B112</f>
        <v>3</v>
      </c>
      <c r="C121" s="48">
        <f>'Yazılım SW Hatası'!C112</f>
        <v>0</v>
      </c>
      <c r="D121" s="48">
        <f t="shared" si="42"/>
        <v>0</v>
      </c>
      <c r="E121" s="48">
        <f>SQRT('Yazılım SW Hatası'!$D$148*(1-'Yazılım SW Hatası'!$D$148)/B121)</f>
        <v>4.0957636120705472E-2</v>
      </c>
      <c r="F121" s="48">
        <f>(D121-'Yazılım SW Hatası'!$D$148)/E121</f>
        <v>-0.12349757998571639</v>
      </c>
      <c r="G121" s="48">
        <f t="shared" si="50"/>
        <v>0</v>
      </c>
      <c r="H121" s="48">
        <f t="shared" si="51"/>
        <v>0</v>
      </c>
      <c r="I121" s="48">
        <f t="shared" si="43"/>
        <v>5</v>
      </c>
      <c r="J121" s="48">
        <f t="shared" si="44"/>
        <v>-5</v>
      </c>
      <c r="K121" s="48">
        <f t="shared" si="52"/>
        <v>-0.22856320698229043</v>
      </c>
      <c r="L121" s="48">
        <f>$B$5*SQRT(($B$4/(2-$B$4))*(1-(1-$B$4)^(2*111)))</f>
        <v>1</v>
      </c>
      <c r="M121" s="48">
        <f t="shared" si="45"/>
        <v>-1</v>
      </c>
      <c r="O121" s="53">
        <f>'Elektronik- Fonksiyon Hatası '!A112</f>
        <v>46221</v>
      </c>
      <c r="P121" s="48">
        <f>'Elektronik- Fonksiyon Hatası '!B112</f>
        <v>3</v>
      </c>
      <c r="Q121" s="48">
        <f>'Elektronik- Fonksiyon Hatası '!C112</f>
        <v>0</v>
      </c>
      <c r="R121" s="48">
        <f t="shared" si="46"/>
        <v>0</v>
      </c>
      <c r="S121" s="48">
        <f>SQRT('Elektronik- Fonksiyon Hatası '!$D$148*(1-'Elektronik- Fonksiyon Hatası '!$D$148)/P121)</f>
        <v>4.3805390170832174E-2</v>
      </c>
      <c r="T121" s="48">
        <f>(R121-'Elektronik- Fonksiyon Hatası '!$D$148)/S121</f>
        <v>-0.13218153647536049</v>
      </c>
      <c r="U121" s="48">
        <f t="shared" si="53"/>
        <v>0</v>
      </c>
      <c r="V121" s="48">
        <f t="shared" si="54"/>
        <v>0</v>
      </c>
      <c r="W121" s="48">
        <f t="shared" si="47"/>
        <v>5</v>
      </c>
      <c r="X121" s="48">
        <f t="shared" si="48"/>
        <v>-5</v>
      </c>
      <c r="Y121" s="48">
        <f t="shared" si="55"/>
        <v>-0.27287466307385788</v>
      </c>
      <c r="Z121" s="48">
        <f>$B$5*SQRT(($B$4/(2-$B$4))*(1-(1-$B$4)^(2*111)))</f>
        <v>1</v>
      </c>
      <c r="AA121" s="48">
        <f t="shared" si="49"/>
        <v>-1</v>
      </c>
    </row>
    <row r="122" spans="1:27" x14ac:dyDescent="0.35">
      <c r="A122" s="53">
        <f>'Yazılım SW Hatası'!A113</f>
        <v>46223</v>
      </c>
      <c r="B122" s="48">
        <f>'Yazılım SW Hatası'!B113</f>
        <v>42</v>
      </c>
      <c r="C122" s="48">
        <f>'Yazılım SW Hatası'!C113</f>
        <v>0</v>
      </c>
      <c r="D122" s="48">
        <f t="shared" si="42"/>
        <v>0</v>
      </c>
      <c r="E122" s="48">
        <f>SQRT('Yazılım SW Hatası'!$D$148*(1-'Yazılım SW Hatası'!$D$148)/B122)</f>
        <v>1.0946388695416916E-2</v>
      </c>
      <c r="F122" s="48">
        <f>(D122-'Yazılım SW Hatası'!$D$148)/E122</f>
        <v>-0.46208563240226141</v>
      </c>
      <c r="G122" s="48">
        <f t="shared" si="50"/>
        <v>0</v>
      </c>
      <c r="H122" s="48">
        <f t="shared" si="51"/>
        <v>0</v>
      </c>
      <c r="I122" s="48">
        <f t="shared" si="43"/>
        <v>5</v>
      </c>
      <c r="J122" s="48">
        <f t="shared" si="44"/>
        <v>-5</v>
      </c>
      <c r="K122" s="48">
        <f t="shared" si="52"/>
        <v>-0.27526769206628465</v>
      </c>
      <c r="L122" s="48">
        <f>$B$5*SQRT(($B$4/(2-$B$4))*(1-(1-$B$4)^(2*112)))</f>
        <v>1</v>
      </c>
      <c r="M122" s="48">
        <f t="shared" si="45"/>
        <v>-1</v>
      </c>
      <c r="O122" s="53">
        <f>'Elektronik- Fonksiyon Hatası '!A113</f>
        <v>46223</v>
      </c>
      <c r="P122" s="48">
        <f>'Elektronik- Fonksiyon Hatası '!B113</f>
        <v>42</v>
      </c>
      <c r="Q122" s="48">
        <f>'Elektronik- Fonksiyon Hatası '!C113</f>
        <v>0</v>
      </c>
      <c r="R122" s="48">
        <f t="shared" si="46"/>
        <v>0</v>
      </c>
      <c r="S122" s="48">
        <f>SQRT('Elektronik- Fonksiyon Hatası '!$D$148*(1-'Elektronik- Fonksiyon Hatası '!$D$148)/P122)</f>
        <v>1.1707482979514915E-2</v>
      </c>
      <c r="T122" s="48">
        <f>(R122-'Elektronik- Fonksiyon Hatası '!$D$148)/S122</f>
        <v>-0.49457802234816173</v>
      </c>
      <c r="U122" s="48">
        <f t="shared" si="53"/>
        <v>0</v>
      </c>
      <c r="V122" s="48">
        <f t="shared" si="54"/>
        <v>0</v>
      </c>
      <c r="W122" s="48">
        <f t="shared" si="47"/>
        <v>5</v>
      </c>
      <c r="X122" s="48">
        <f t="shared" si="48"/>
        <v>-5</v>
      </c>
      <c r="Y122" s="48">
        <f t="shared" si="55"/>
        <v>-0.31721533492871867</v>
      </c>
      <c r="Z122" s="48">
        <f>$B$5*SQRT(($B$4/(2-$B$4))*(1-(1-$B$4)^(2*112)))</f>
        <v>1</v>
      </c>
      <c r="AA122" s="48">
        <f t="shared" si="49"/>
        <v>-1</v>
      </c>
    </row>
    <row r="123" spans="1:27" x14ac:dyDescent="0.35">
      <c r="A123" s="53">
        <f>'Yazılım SW Hatası'!A114</f>
        <v>46224</v>
      </c>
      <c r="B123" s="48">
        <f>'Yazılım SW Hatası'!B114</f>
        <v>172</v>
      </c>
      <c r="C123" s="48">
        <f>'Yazılım SW Hatası'!C114</f>
        <v>2</v>
      </c>
      <c r="D123" s="48">
        <f t="shared" si="42"/>
        <v>1.1627906976744186E-2</v>
      </c>
      <c r="E123" s="48">
        <f>SQRT('Yazılım SW Hatası'!$D$148*(1-'Yazılım SW Hatası'!$D$148)/B123)</f>
        <v>5.4091781765145362E-3</v>
      </c>
      <c r="F123" s="48">
        <f>(D123-'Yazılım SW Hatası'!$D$148)/E123</f>
        <v>1.214553823060563</v>
      </c>
      <c r="G123" s="48">
        <f t="shared" si="50"/>
        <v>0.71455382306056303</v>
      </c>
      <c r="H123" s="48">
        <f t="shared" si="51"/>
        <v>0</v>
      </c>
      <c r="I123" s="48">
        <f t="shared" si="43"/>
        <v>5</v>
      </c>
      <c r="J123" s="48">
        <f t="shared" si="44"/>
        <v>-5</v>
      </c>
      <c r="K123" s="48">
        <f t="shared" si="52"/>
        <v>2.2696610959084873E-2</v>
      </c>
      <c r="L123" s="48">
        <f>$B$5*SQRT(($B$4/(2-$B$4))*(1-(1-$B$4)^(2*113)))</f>
        <v>1</v>
      </c>
      <c r="M123" s="48">
        <f t="shared" si="45"/>
        <v>-1</v>
      </c>
      <c r="O123" s="53">
        <f>'Elektronik- Fonksiyon Hatası '!A114</f>
        <v>46224</v>
      </c>
      <c r="P123" s="48">
        <f>'Elektronik- Fonksiyon Hatası '!B114</f>
        <v>172</v>
      </c>
      <c r="Q123" s="48">
        <f>'Elektronik- Fonksiyon Hatası '!C114</f>
        <v>0</v>
      </c>
      <c r="R123" s="48">
        <f t="shared" si="46"/>
        <v>0</v>
      </c>
      <c r="S123" s="48">
        <f>SQRT('Elektronik- Fonksiyon Hatası '!$D$148*(1-'Elektronik- Fonksiyon Hatası '!$D$148)/P123)</f>
        <v>5.7852743216785137E-3</v>
      </c>
      <c r="T123" s="48">
        <f>(R123-'Elektronik- Fonksiyon Hatası '!$D$148)/S123</f>
        <v>-1.000862440867504</v>
      </c>
      <c r="U123" s="48">
        <f t="shared" si="53"/>
        <v>0</v>
      </c>
      <c r="V123" s="48">
        <f t="shared" si="54"/>
        <v>0.50086244086750398</v>
      </c>
      <c r="W123" s="48">
        <f t="shared" si="47"/>
        <v>5</v>
      </c>
      <c r="X123" s="48">
        <f t="shared" si="48"/>
        <v>-5</v>
      </c>
      <c r="Y123" s="48">
        <f t="shared" si="55"/>
        <v>-0.45394475611647578</v>
      </c>
      <c r="Z123" s="48">
        <f>$B$5*SQRT(($B$4/(2-$B$4))*(1-(1-$B$4)^(2*113)))</f>
        <v>1</v>
      </c>
      <c r="AA123" s="48">
        <f t="shared" si="49"/>
        <v>-1</v>
      </c>
    </row>
    <row r="124" spans="1:27" x14ac:dyDescent="0.35">
      <c r="A124" s="53">
        <f>'Yazılım SW Hatası'!A115</f>
        <v>46225</v>
      </c>
      <c r="B124" s="48">
        <f>'Yazılım SW Hatası'!B115</f>
        <v>4</v>
      </c>
      <c r="C124" s="48">
        <f>'Yazılım SW Hatası'!C115</f>
        <v>0</v>
      </c>
      <c r="D124" s="48">
        <f t="shared" si="42"/>
        <v>0</v>
      </c>
      <c r="E124" s="48">
        <f>SQRT('Yazılım SW Hatası'!$D$148*(1-'Yazılım SW Hatası'!$D$148)/B124)</f>
        <v>3.5470353359490066E-2</v>
      </c>
      <c r="F124" s="48">
        <f>(D124-'Yazılım SW Hatası'!$D$148)/E124</f>
        <v>-0.1426027220980414</v>
      </c>
      <c r="G124" s="48">
        <f t="shared" si="50"/>
        <v>7.1951100962521664E-2</v>
      </c>
      <c r="H124" s="48">
        <f t="shared" si="51"/>
        <v>0</v>
      </c>
      <c r="I124" s="48">
        <f t="shared" si="43"/>
        <v>5</v>
      </c>
      <c r="J124" s="48">
        <f t="shared" si="44"/>
        <v>-5</v>
      </c>
      <c r="K124" s="48">
        <f t="shared" si="52"/>
        <v>-1.0363255652340381E-2</v>
      </c>
      <c r="L124" s="48">
        <f>$B$5*SQRT(($B$4/(2-$B$4))*(1-(1-$B$4)^(2*114)))</f>
        <v>1</v>
      </c>
      <c r="M124" s="48">
        <f t="shared" si="45"/>
        <v>-1</v>
      </c>
      <c r="O124" s="53">
        <f>'Elektronik- Fonksiyon Hatası '!A115</f>
        <v>46225</v>
      </c>
      <c r="P124" s="48">
        <f>'Elektronik- Fonksiyon Hatası '!B115</f>
        <v>4</v>
      </c>
      <c r="Q124" s="48">
        <f>'Elektronik- Fonksiyon Hatası '!C115</f>
        <v>0</v>
      </c>
      <c r="R124" s="48">
        <f t="shared" si="46"/>
        <v>0</v>
      </c>
      <c r="S124" s="48">
        <f>SQRT('Elektronik- Fonksiyon Hatası '!$D$148*(1-'Elektronik- Fonksiyon Hatası '!$D$148)/P124)</f>
        <v>3.7936580710629809E-2</v>
      </c>
      <c r="T124" s="48">
        <f>(R124-'Elektronik- Fonksiyon Hatası '!$D$148)/S124</f>
        <v>-0.15263009133189545</v>
      </c>
      <c r="U124" s="48">
        <f t="shared" si="53"/>
        <v>0</v>
      </c>
      <c r="V124" s="48">
        <f t="shared" si="54"/>
        <v>0.1534925321993994</v>
      </c>
      <c r="W124" s="48">
        <f t="shared" si="47"/>
        <v>5</v>
      </c>
      <c r="X124" s="48">
        <f t="shared" si="48"/>
        <v>-5</v>
      </c>
      <c r="Y124" s="48">
        <f t="shared" si="55"/>
        <v>-0.39368182315955974</v>
      </c>
      <c r="Z124" s="48">
        <f>$B$5*SQRT(($B$4/(2-$B$4))*(1-(1-$B$4)^(2*114)))</f>
        <v>1</v>
      </c>
      <c r="AA124" s="48">
        <f t="shared" si="49"/>
        <v>-1</v>
      </c>
    </row>
    <row r="125" spans="1:27" x14ac:dyDescent="0.35">
      <c r="A125" s="53">
        <f>'Yazılım SW Hatası'!A116</f>
        <v>46226</v>
      </c>
      <c r="B125" s="48">
        <f>'Yazılım SW Hatası'!B116</f>
        <v>24</v>
      </c>
      <c r="C125" s="48">
        <f>'Yazılım SW Hatası'!C116</f>
        <v>0</v>
      </c>
      <c r="D125" s="48">
        <f t="shared" si="42"/>
        <v>0</v>
      </c>
      <c r="E125" s="48">
        <f>SQRT('Yazılım SW Hatası'!$D$148*(1-'Yazılım SW Hatası'!$D$148)/B125)</f>
        <v>1.448071112116096E-2</v>
      </c>
      <c r="F125" s="48">
        <f>(D125-'Yazılım SW Hatası'!$D$148)/E125</f>
        <v>-0.34930390507211245</v>
      </c>
      <c r="G125" s="48">
        <f t="shared" si="50"/>
        <v>0</v>
      </c>
      <c r="H125" s="48">
        <f t="shared" si="51"/>
        <v>0</v>
      </c>
      <c r="I125" s="48">
        <f t="shared" si="43"/>
        <v>5</v>
      </c>
      <c r="J125" s="48">
        <f t="shared" si="44"/>
        <v>-5</v>
      </c>
      <c r="K125" s="48">
        <f t="shared" si="52"/>
        <v>-7.815138553629479E-2</v>
      </c>
      <c r="L125" s="48">
        <f>$B$5*SQRT(($B$4/(2-$B$4))*(1-(1-$B$4)^(2*115)))</f>
        <v>1</v>
      </c>
      <c r="M125" s="48">
        <f t="shared" si="45"/>
        <v>-1</v>
      </c>
      <c r="O125" s="53">
        <f>'Elektronik- Fonksiyon Hatası '!A116</f>
        <v>46226</v>
      </c>
      <c r="P125" s="48">
        <f>'Elektronik- Fonksiyon Hatası '!B116</f>
        <v>24</v>
      </c>
      <c r="Q125" s="48">
        <f>'Elektronik- Fonksiyon Hatası '!C116</f>
        <v>0</v>
      </c>
      <c r="R125" s="48">
        <f t="shared" si="46"/>
        <v>0</v>
      </c>
      <c r="S125" s="48">
        <f>SQRT('Elektronik- Fonksiyon Hatası '!$D$148*(1-'Elektronik- Fonksiyon Hatası '!$D$148)/P125)</f>
        <v>1.5487544221158982E-2</v>
      </c>
      <c r="T125" s="48">
        <f>(R125-'Elektronik- Fonksiyon Hatası '!$D$148)/S125</f>
        <v>-0.37386584315753757</v>
      </c>
      <c r="U125" s="48">
        <f t="shared" si="53"/>
        <v>0</v>
      </c>
      <c r="V125" s="48">
        <f t="shared" si="54"/>
        <v>2.735837535693697E-2</v>
      </c>
      <c r="W125" s="48">
        <f t="shared" si="47"/>
        <v>5</v>
      </c>
      <c r="X125" s="48">
        <f t="shared" si="48"/>
        <v>-5</v>
      </c>
      <c r="Y125" s="48">
        <f t="shared" si="55"/>
        <v>-0.38971862715915534</v>
      </c>
      <c r="Z125" s="48">
        <f>$B$5*SQRT(($B$4/(2-$B$4))*(1-(1-$B$4)^(2*115)))</f>
        <v>1</v>
      </c>
      <c r="AA125" s="48">
        <f t="shared" si="49"/>
        <v>-1</v>
      </c>
    </row>
    <row r="126" spans="1:27" x14ac:dyDescent="0.35">
      <c r="A126" s="53">
        <f>'Yazılım SW Hatası'!A117</f>
        <v>46227</v>
      </c>
      <c r="B126" s="48">
        <f>'Yazılım SW Hatası'!B117</f>
        <v>22</v>
      </c>
      <c r="C126" s="48">
        <f>'Yazılım SW Hatası'!C117</f>
        <v>0</v>
      </c>
      <c r="D126" s="48">
        <f t="shared" si="42"/>
        <v>0</v>
      </c>
      <c r="E126" s="48">
        <f>SQRT('Yazılım SW Hatası'!$D$148*(1-'Yazılım SW Hatası'!$D$148)/B126)</f>
        <v>1.512460949125983E-2</v>
      </c>
      <c r="F126" s="48">
        <f>(D126-'Yazılım SW Hatası'!$D$148)/E126</f>
        <v>-0.33443302756118709</v>
      </c>
      <c r="G126" s="48">
        <f t="shared" si="50"/>
        <v>0</v>
      </c>
      <c r="H126" s="48">
        <f t="shared" si="51"/>
        <v>0</v>
      </c>
      <c r="I126" s="48">
        <f t="shared" si="43"/>
        <v>5</v>
      </c>
      <c r="J126" s="48">
        <f t="shared" si="44"/>
        <v>-5</v>
      </c>
      <c r="K126" s="48">
        <f t="shared" si="52"/>
        <v>-0.12940771394127326</v>
      </c>
      <c r="L126" s="48">
        <f>$B$5*SQRT(($B$4/(2-$B$4))*(1-(1-$B$4)^(2*116)))</f>
        <v>1</v>
      </c>
      <c r="M126" s="48">
        <f t="shared" si="45"/>
        <v>-1</v>
      </c>
      <c r="O126" s="53">
        <f>'Elektronik- Fonksiyon Hatası '!A117</f>
        <v>46227</v>
      </c>
      <c r="P126" s="48">
        <f>'Elektronik- Fonksiyon Hatası '!B117</f>
        <v>22</v>
      </c>
      <c r="Q126" s="48">
        <f>'Elektronik- Fonksiyon Hatası '!C117</f>
        <v>0</v>
      </c>
      <c r="R126" s="48">
        <f t="shared" si="46"/>
        <v>0</v>
      </c>
      <c r="S126" s="48">
        <f>SQRT('Elektronik- Fonksiyon Hatası '!$D$148*(1-'Elektronik- Fonksiyon Hatası '!$D$148)/P126)</f>
        <v>1.6176212367177416E-2</v>
      </c>
      <c r="T126" s="48">
        <f>(R126-'Elektronik- Fonksiyon Hatası '!$D$148)/S126</f>
        <v>-0.35794929290320593</v>
      </c>
      <c r="U126" s="48">
        <f t="shared" si="53"/>
        <v>0</v>
      </c>
      <c r="V126" s="48">
        <f t="shared" si="54"/>
        <v>0</v>
      </c>
      <c r="W126" s="48">
        <f t="shared" si="47"/>
        <v>5</v>
      </c>
      <c r="X126" s="48">
        <f t="shared" si="48"/>
        <v>-5</v>
      </c>
      <c r="Y126" s="48">
        <f t="shared" si="55"/>
        <v>-0.38336476030796551</v>
      </c>
      <c r="Z126" s="48">
        <f>$B$5*SQRT(($B$4/(2-$B$4))*(1-(1-$B$4)^(2*116)))</f>
        <v>1</v>
      </c>
      <c r="AA126" s="48">
        <f t="shared" si="49"/>
        <v>-1</v>
      </c>
    </row>
    <row r="127" spans="1:27" x14ac:dyDescent="0.35">
      <c r="A127" s="53">
        <f>'Yazılım SW Hatası'!A118</f>
        <v>46228</v>
      </c>
      <c r="B127" s="48">
        <f>'Yazılım SW Hatası'!B118</f>
        <v>2</v>
      </c>
      <c r="C127" s="48">
        <f>'Yazılım SW Hatası'!C118</f>
        <v>0</v>
      </c>
      <c r="D127" s="48">
        <f t="shared" si="42"/>
        <v>0</v>
      </c>
      <c r="E127" s="48">
        <f>SQRT('Yazılım SW Hatası'!$D$148*(1-'Yazılım SW Hatası'!$D$148)/B127)</f>
        <v>5.0162654783156922E-2</v>
      </c>
      <c r="F127" s="48">
        <f>(D127-'Yazılım SW Hatası'!$D$148)/E127</f>
        <v>-0.10083535181118582</v>
      </c>
      <c r="G127" s="48">
        <f t="shared" si="50"/>
        <v>0</v>
      </c>
      <c r="H127" s="48">
        <f t="shared" si="51"/>
        <v>0</v>
      </c>
      <c r="I127" s="48">
        <f t="shared" si="43"/>
        <v>5</v>
      </c>
      <c r="J127" s="48">
        <f t="shared" si="44"/>
        <v>-5</v>
      </c>
      <c r="K127" s="48">
        <f t="shared" si="52"/>
        <v>-0.12369324151525578</v>
      </c>
      <c r="L127" s="48">
        <f>$B$5*SQRT(($B$4/(2-$B$4))*(1-(1-$B$4)^(2*117)))</f>
        <v>1</v>
      </c>
      <c r="M127" s="48">
        <f t="shared" si="45"/>
        <v>-1</v>
      </c>
      <c r="O127" s="53">
        <f>'Elektronik- Fonksiyon Hatası '!A118</f>
        <v>46228</v>
      </c>
      <c r="P127" s="48">
        <f>'Elektronik- Fonksiyon Hatası '!B118</f>
        <v>2</v>
      </c>
      <c r="Q127" s="48">
        <f>'Elektronik- Fonksiyon Hatası '!C118</f>
        <v>0</v>
      </c>
      <c r="R127" s="48">
        <f t="shared" si="46"/>
        <v>0</v>
      </c>
      <c r="S127" s="48">
        <f>SQRT('Elektronik- Fonksiyon Hatası '!$D$148*(1-'Elektronik- Fonksiyon Hatası '!$D$148)/P127)</f>
        <v>5.3650426951034225E-2</v>
      </c>
      <c r="T127" s="48">
        <f>(R127-'Elektronik- Fonksiyon Hatası '!$D$148)/S127</f>
        <v>-0.10792577259390536</v>
      </c>
      <c r="U127" s="48">
        <f t="shared" si="53"/>
        <v>0</v>
      </c>
      <c r="V127" s="48">
        <f t="shared" si="54"/>
        <v>0</v>
      </c>
      <c r="W127" s="48">
        <f t="shared" si="47"/>
        <v>5</v>
      </c>
      <c r="X127" s="48">
        <f t="shared" si="48"/>
        <v>-5</v>
      </c>
      <c r="Y127" s="48">
        <f t="shared" si="55"/>
        <v>-0.3282769627651535</v>
      </c>
      <c r="Z127" s="48">
        <f>$B$5*SQRT(($B$4/(2-$B$4))*(1-(1-$B$4)^(2*117)))</f>
        <v>1</v>
      </c>
      <c r="AA127" s="48">
        <f t="shared" si="49"/>
        <v>-1</v>
      </c>
    </row>
    <row r="128" spans="1:27" x14ac:dyDescent="0.35">
      <c r="A128" s="53">
        <f>'Yazılım SW Hatası'!A119</f>
        <v>46229</v>
      </c>
      <c r="B128" s="48">
        <f>'Yazılım SW Hatası'!B119</f>
        <v>1</v>
      </c>
      <c r="C128" s="48">
        <f>'Yazılım SW Hatası'!C119</f>
        <v>0</v>
      </c>
      <c r="D128" s="48">
        <f t="shared" si="42"/>
        <v>0</v>
      </c>
      <c r="E128" s="48">
        <f>SQRT('Yazılım SW Hatası'!$D$148*(1-'Yazılım SW Hatası'!$D$148)/B128)</f>
        <v>7.0940706718980132E-2</v>
      </c>
      <c r="F128" s="48">
        <f>(D128-'Yazılım SW Hatası'!$D$148)/E128</f>
        <v>-7.1301361049020698E-2</v>
      </c>
      <c r="G128" s="48">
        <f t="shared" si="50"/>
        <v>0</v>
      </c>
      <c r="H128" s="48">
        <f t="shared" si="51"/>
        <v>0</v>
      </c>
      <c r="I128" s="48">
        <f t="shared" si="43"/>
        <v>5</v>
      </c>
      <c r="J128" s="48">
        <f t="shared" si="44"/>
        <v>-5</v>
      </c>
      <c r="K128" s="48">
        <f t="shared" si="52"/>
        <v>-0.11321486542200876</v>
      </c>
      <c r="L128" s="48">
        <f>$B$5*SQRT(($B$4/(2-$B$4))*(1-(1-$B$4)^(2*118)))</f>
        <v>1</v>
      </c>
      <c r="M128" s="48">
        <f t="shared" si="45"/>
        <v>-1</v>
      </c>
      <c r="O128" s="53">
        <f>'Elektronik- Fonksiyon Hatası '!A119</f>
        <v>46229</v>
      </c>
      <c r="P128" s="48">
        <f>'Elektronik- Fonksiyon Hatası '!B119</f>
        <v>1</v>
      </c>
      <c r="Q128" s="48">
        <f>'Elektronik- Fonksiyon Hatası '!C119</f>
        <v>0</v>
      </c>
      <c r="R128" s="48">
        <f t="shared" si="46"/>
        <v>0</v>
      </c>
      <c r="S128" s="48">
        <f>SQRT('Elektronik- Fonksiyon Hatası '!$D$148*(1-'Elektronik- Fonksiyon Hatası '!$D$148)/P128)</f>
        <v>7.5873161421259619E-2</v>
      </c>
      <c r="T128" s="48">
        <f>(R128-'Elektronik- Fonksiyon Hatası '!$D$148)/S128</f>
        <v>-7.6315045665947726E-2</v>
      </c>
      <c r="U128" s="48">
        <f t="shared" si="53"/>
        <v>0</v>
      </c>
      <c r="V128" s="48">
        <f t="shared" si="54"/>
        <v>0</v>
      </c>
      <c r="W128" s="48">
        <f t="shared" si="47"/>
        <v>5</v>
      </c>
      <c r="X128" s="48">
        <f t="shared" si="48"/>
        <v>-5</v>
      </c>
      <c r="Y128" s="48">
        <f t="shared" si="55"/>
        <v>-0.27788457934531235</v>
      </c>
      <c r="Z128" s="48">
        <f>$B$5*SQRT(($B$4/(2-$B$4))*(1-(1-$B$4)^(2*118)))</f>
        <v>1</v>
      </c>
      <c r="AA128" s="48">
        <f t="shared" si="49"/>
        <v>-1</v>
      </c>
    </row>
    <row r="129" spans="1:27" x14ac:dyDescent="0.35">
      <c r="A129" s="53">
        <f>'Yazılım SW Hatası'!A120</f>
        <v>46230</v>
      </c>
      <c r="B129" s="48">
        <f>'Yazılım SW Hatası'!B120</f>
        <v>30</v>
      </c>
      <c r="C129" s="48">
        <f>'Yazılım SW Hatası'!C120</f>
        <v>0</v>
      </c>
      <c r="D129" s="48">
        <f t="shared" si="42"/>
        <v>0</v>
      </c>
      <c r="E129" s="48">
        <f>SQRT('Yazılım SW Hatası'!$D$148*(1-'Yazılım SW Hatası'!$D$148)/B129)</f>
        <v>1.2951941771781239E-2</v>
      </c>
      <c r="F129" s="48">
        <f>(D129-'Yazılım SW Hatası'!$D$148)/E129</f>
        <v>-0.39053363827368853</v>
      </c>
      <c r="G129" s="48">
        <f t="shared" si="50"/>
        <v>0</v>
      </c>
      <c r="H129" s="48">
        <f t="shared" si="51"/>
        <v>0</v>
      </c>
      <c r="I129" s="48">
        <f t="shared" si="43"/>
        <v>5</v>
      </c>
      <c r="J129" s="48">
        <f t="shared" si="44"/>
        <v>-5</v>
      </c>
      <c r="K129" s="48">
        <f t="shared" si="52"/>
        <v>-0.16867861999234474</v>
      </c>
      <c r="L129" s="48">
        <f>$B$5*SQRT(($B$4/(2-$B$4))*(1-(1-$B$4)^(2*119)))</f>
        <v>1</v>
      </c>
      <c r="M129" s="48">
        <f t="shared" si="45"/>
        <v>-1</v>
      </c>
      <c r="O129" s="53">
        <f>'Elektronik- Fonksiyon Hatası '!A120</f>
        <v>46230</v>
      </c>
      <c r="P129" s="48">
        <f>'Elektronik- Fonksiyon Hatası '!B120</f>
        <v>30</v>
      </c>
      <c r="Q129" s="48">
        <f>'Elektronik- Fonksiyon Hatası '!C120</f>
        <v>0</v>
      </c>
      <c r="R129" s="48">
        <f t="shared" si="46"/>
        <v>0</v>
      </c>
      <c r="S129" s="48">
        <f>SQRT('Elektronik- Fonksiyon Hatası '!$D$148*(1-'Elektronik- Fonksiyon Hatası '!$D$148)/P129)</f>
        <v>1.3852480673218209E-2</v>
      </c>
      <c r="T129" s="48">
        <f>(R129-'Elektronik- Fonksiyon Hatası '!$D$148)/S129</f>
        <v>-0.41799471988276427</v>
      </c>
      <c r="U129" s="48">
        <f t="shared" si="53"/>
        <v>0</v>
      </c>
      <c r="V129" s="48">
        <f t="shared" si="54"/>
        <v>0</v>
      </c>
      <c r="W129" s="48">
        <f t="shared" si="47"/>
        <v>5</v>
      </c>
      <c r="X129" s="48">
        <f t="shared" si="48"/>
        <v>-5</v>
      </c>
      <c r="Y129" s="48">
        <f t="shared" si="55"/>
        <v>-0.30590660745280274</v>
      </c>
      <c r="Z129" s="48">
        <f>$B$5*SQRT(($B$4/(2-$B$4))*(1-(1-$B$4)^(2*119)))</f>
        <v>1</v>
      </c>
      <c r="AA129" s="48">
        <f t="shared" si="49"/>
        <v>-1</v>
      </c>
    </row>
    <row r="130" spans="1:27" x14ac:dyDescent="0.35">
      <c r="A130" s="53">
        <f>'Yazılım SW Hatası'!A121</f>
        <v>46231</v>
      </c>
      <c r="B130" s="48">
        <f>'Yazılım SW Hatası'!B121</f>
        <v>7</v>
      </c>
      <c r="C130" s="48">
        <f>'Yazılım SW Hatası'!C121</f>
        <v>0</v>
      </c>
      <c r="D130" s="48">
        <f t="shared" si="42"/>
        <v>0</v>
      </c>
      <c r="E130" s="48">
        <f>SQRT('Yazılım SW Hatası'!$D$148*(1-'Yazılım SW Hatası'!$D$148)/B130)</f>
        <v>2.681306682994147E-2</v>
      </c>
      <c r="F130" s="48">
        <f>(D130-'Yazılım SW Hatası'!$D$148)/E130</f>
        <v>-0.18864566947613626</v>
      </c>
      <c r="G130" s="48">
        <f t="shared" si="50"/>
        <v>0</v>
      </c>
      <c r="H130" s="48">
        <f t="shared" si="51"/>
        <v>0</v>
      </c>
      <c r="I130" s="48">
        <f t="shared" si="43"/>
        <v>5</v>
      </c>
      <c r="J130" s="48">
        <f t="shared" si="44"/>
        <v>-5</v>
      </c>
      <c r="K130" s="48">
        <f t="shared" si="52"/>
        <v>-0.17267202988910305</v>
      </c>
      <c r="L130" s="48">
        <f>$B$5*SQRT(($B$4/(2-$B$4))*(1-(1-$B$4)^(2*120)))</f>
        <v>1</v>
      </c>
      <c r="M130" s="48">
        <f t="shared" si="45"/>
        <v>-1</v>
      </c>
      <c r="O130" s="53">
        <f>'Elektronik- Fonksiyon Hatası '!A121</f>
        <v>46231</v>
      </c>
      <c r="P130" s="48">
        <f>'Elektronik- Fonksiyon Hatası '!B121</f>
        <v>7</v>
      </c>
      <c r="Q130" s="48">
        <f>'Elektronik- Fonksiyon Hatası '!C121</f>
        <v>0</v>
      </c>
      <c r="R130" s="48">
        <f t="shared" si="46"/>
        <v>0</v>
      </c>
      <c r="S130" s="48">
        <f>SQRT('Elektronik- Fonksiyon Hatası '!$D$148*(1-'Elektronik- Fonksiyon Hatası '!$D$148)/P130)</f>
        <v>2.8677359472130421E-2</v>
      </c>
      <c r="T130" s="48">
        <f>(R130-'Elektronik- Fonksiyon Hatası '!$D$148)/S130</f>
        <v>-0.20191063212463531</v>
      </c>
      <c r="U130" s="48">
        <f t="shared" si="53"/>
        <v>0</v>
      </c>
      <c r="V130" s="48">
        <f t="shared" si="54"/>
        <v>0</v>
      </c>
      <c r="W130" s="48">
        <f t="shared" si="47"/>
        <v>5</v>
      </c>
      <c r="X130" s="48">
        <f t="shared" si="48"/>
        <v>-5</v>
      </c>
      <c r="Y130" s="48">
        <f t="shared" si="55"/>
        <v>-0.28510741238716925</v>
      </c>
      <c r="Z130" s="48">
        <f>$B$5*SQRT(($B$4/(2-$B$4))*(1-(1-$B$4)^(2*120)))</f>
        <v>1</v>
      </c>
      <c r="AA130" s="48">
        <f t="shared" si="49"/>
        <v>-1</v>
      </c>
    </row>
    <row r="131" spans="1:27" x14ac:dyDescent="0.35">
      <c r="A131" s="53">
        <f>'Yazılım SW Hatası'!A122</f>
        <v>46232</v>
      </c>
      <c r="B131" s="48">
        <f>'Yazılım SW Hatası'!B122</f>
        <v>20</v>
      </c>
      <c r="C131" s="48">
        <f>'Yazılım SW Hatası'!C122</f>
        <v>0</v>
      </c>
      <c r="D131" s="48">
        <f t="shared" si="42"/>
        <v>0</v>
      </c>
      <c r="E131" s="48">
        <f>SQRT('Yazılım SW Hatası'!$D$148*(1-'Yazılım SW Hatası'!$D$148)/B131)</f>
        <v>1.5862824259551565E-2</v>
      </c>
      <c r="F131" s="48">
        <f>(D131-'Yazılım SW Hatası'!$D$148)/E131</f>
        <v>-0.31886938038773199</v>
      </c>
      <c r="G131" s="48">
        <f t="shared" si="50"/>
        <v>0</v>
      </c>
      <c r="H131" s="48">
        <f t="shared" si="51"/>
        <v>0</v>
      </c>
      <c r="I131" s="48">
        <f t="shared" si="43"/>
        <v>5</v>
      </c>
      <c r="J131" s="48">
        <f t="shared" si="44"/>
        <v>-5</v>
      </c>
      <c r="K131" s="48">
        <f t="shared" si="52"/>
        <v>-0.20191149998882885</v>
      </c>
      <c r="L131" s="48">
        <f>$B$5*SQRT(($B$4/(2-$B$4))*(1-(1-$B$4)^(2*121)))</f>
        <v>1</v>
      </c>
      <c r="M131" s="48">
        <f t="shared" si="45"/>
        <v>-1</v>
      </c>
      <c r="O131" s="53">
        <f>'Elektronik- Fonksiyon Hatası '!A122</f>
        <v>46232</v>
      </c>
      <c r="P131" s="48">
        <f>'Elektronik- Fonksiyon Hatası '!B122</f>
        <v>20</v>
      </c>
      <c r="Q131" s="48">
        <f>'Elektronik- Fonksiyon Hatası '!C122</f>
        <v>0</v>
      </c>
      <c r="R131" s="48">
        <f t="shared" si="46"/>
        <v>0</v>
      </c>
      <c r="S131" s="48">
        <f>SQRT('Elektronik- Fonksiyon Hatası '!$D$148*(1-'Elektronik- Fonksiyon Hatası '!$D$148)/P131)</f>
        <v>1.6965754660575108E-2</v>
      </c>
      <c r="T131" s="48">
        <f>(R131-'Elektronik- Fonksiyon Hatası '!$D$148)/S131</f>
        <v>-0.34129125963011964</v>
      </c>
      <c r="U131" s="48">
        <f t="shared" si="53"/>
        <v>0</v>
      </c>
      <c r="V131" s="48">
        <f t="shared" si="54"/>
        <v>0</v>
      </c>
      <c r="W131" s="48">
        <f t="shared" si="47"/>
        <v>5</v>
      </c>
      <c r="X131" s="48">
        <f t="shared" si="48"/>
        <v>-5</v>
      </c>
      <c r="Y131" s="48">
        <f t="shared" si="55"/>
        <v>-0.29634418183575933</v>
      </c>
      <c r="Z131" s="48">
        <f>$B$5*SQRT(($B$4/(2-$B$4))*(1-(1-$B$4)^(2*121)))</f>
        <v>1</v>
      </c>
      <c r="AA131" s="48">
        <f t="shared" si="49"/>
        <v>-1</v>
      </c>
    </row>
    <row r="132" spans="1:27" x14ac:dyDescent="0.35">
      <c r="A132" s="53">
        <f>'Yazılım SW Hatası'!A123</f>
        <v>46233</v>
      </c>
      <c r="B132" s="48">
        <f>'Yazılım SW Hatası'!B123</f>
        <v>20</v>
      </c>
      <c r="C132" s="48">
        <f>'Yazılım SW Hatası'!C123</f>
        <v>0</v>
      </c>
      <c r="D132" s="48">
        <f t="shared" si="42"/>
        <v>0</v>
      </c>
      <c r="E132" s="48">
        <f>SQRT('Yazılım SW Hatası'!$D$148*(1-'Yazılım SW Hatası'!$D$148)/B132)</f>
        <v>1.5862824259551565E-2</v>
      </c>
      <c r="F132" s="48">
        <f>(D132-'Yazılım SW Hatası'!$D$148)/E132</f>
        <v>-0.31886938038773199</v>
      </c>
      <c r="G132" s="48">
        <f t="shared" si="50"/>
        <v>0</v>
      </c>
      <c r="H132" s="48">
        <f t="shared" si="51"/>
        <v>0</v>
      </c>
      <c r="I132" s="48">
        <f t="shared" si="43"/>
        <v>5</v>
      </c>
      <c r="J132" s="48">
        <f t="shared" si="44"/>
        <v>-5</v>
      </c>
      <c r="K132" s="48">
        <f t="shared" si="52"/>
        <v>-0.2253030760686095</v>
      </c>
      <c r="L132" s="48">
        <f>$B$5*SQRT(($B$4/(2-$B$4))*(1-(1-$B$4)^(2*122)))</f>
        <v>1</v>
      </c>
      <c r="M132" s="48">
        <f t="shared" si="45"/>
        <v>-1</v>
      </c>
      <c r="O132" s="53">
        <f>'Elektronik- Fonksiyon Hatası '!A123</f>
        <v>46233</v>
      </c>
      <c r="P132" s="48">
        <f>'Elektronik- Fonksiyon Hatası '!B123</f>
        <v>20</v>
      </c>
      <c r="Q132" s="48">
        <f>'Elektronik- Fonksiyon Hatası '!C123</f>
        <v>0</v>
      </c>
      <c r="R132" s="48">
        <f t="shared" si="46"/>
        <v>0</v>
      </c>
      <c r="S132" s="48">
        <f>SQRT('Elektronik- Fonksiyon Hatası '!$D$148*(1-'Elektronik- Fonksiyon Hatası '!$D$148)/P132)</f>
        <v>1.6965754660575108E-2</v>
      </c>
      <c r="T132" s="48">
        <f>(R132-'Elektronik- Fonksiyon Hatası '!$D$148)/S132</f>
        <v>-0.34129125963011964</v>
      </c>
      <c r="U132" s="48">
        <f t="shared" si="53"/>
        <v>0</v>
      </c>
      <c r="V132" s="48">
        <f t="shared" si="54"/>
        <v>0</v>
      </c>
      <c r="W132" s="48">
        <f t="shared" si="47"/>
        <v>5</v>
      </c>
      <c r="X132" s="48">
        <f t="shared" si="48"/>
        <v>-5</v>
      </c>
      <c r="Y132" s="48">
        <f t="shared" si="55"/>
        <v>-0.3053335973946314</v>
      </c>
      <c r="Z132" s="48">
        <f>$B$5*SQRT(($B$4/(2-$B$4))*(1-(1-$B$4)^(2*122)))</f>
        <v>1</v>
      </c>
      <c r="AA132" s="48">
        <f t="shared" si="49"/>
        <v>-1</v>
      </c>
    </row>
    <row r="133" spans="1:27" x14ac:dyDescent="0.35">
      <c r="A133" s="53">
        <f>'Yazılım SW Hatası'!A124</f>
        <v>46234</v>
      </c>
      <c r="B133" s="48">
        <f>'Yazılım SW Hatası'!B124</f>
        <v>36</v>
      </c>
      <c r="C133" s="48">
        <f>'Yazılım SW Hatası'!C124</f>
        <v>0</v>
      </c>
      <c r="D133" s="48">
        <f t="shared" si="42"/>
        <v>0</v>
      </c>
      <c r="E133" s="48">
        <f>SQRT('Yazılım SW Hatası'!$D$148*(1-'Yazılım SW Hatası'!$D$148)/B133)</f>
        <v>1.1823451119830021E-2</v>
      </c>
      <c r="F133" s="48">
        <f>(D133-'Yazılım SW Hatası'!$D$148)/E133</f>
        <v>-0.42780816629412421</v>
      </c>
      <c r="G133" s="48">
        <f t="shared" si="50"/>
        <v>0</v>
      </c>
      <c r="H133" s="48">
        <f t="shared" si="51"/>
        <v>0</v>
      </c>
      <c r="I133" s="48">
        <f t="shared" si="43"/>
        <v>5</v>
      </c>
      <c r="J133" s="48">
        <f t="shared" si="44"/>
        <v>-5</v>
      </c>
      <c r="K133" s="48">
        <f t="shared" si="52"/>
        <v>-0.26580409411371242</v>
      </c>
      <c r="L133" s="48">
        <f>$B$5*SQRT(($B$4/(2-$B$4))*(1-(1-$B$4)^(2*123)))</f>
        <v>1</v>
      </c>
      <c r="M133" s="48">
        <f t="shared" si="45"/>
        <v>-1</v>
      </c>
      <c r="O133" s="53">
        <f>'Elektronik- Fonksiyon Hatası '!A124</f>
        <v>46234</v>
      </c>
      <c r="P133" s="48">
        <f>'Elektronik- Fonksiyon Hatası '!B124</f>
        <v>36</v>
      </c>
      <c r="Q133" s="48">
        <f>'Elektronik- Fonksiyon Hatası '!C124</f>
        <v>0</v>
      </c>
      <c r="R133" s="48">
        <f t="shared" si="46"/>
        <v>0</v>
      </c>
      <c r="S133" s="48">
        <f>SQRT('Elektronik- Fonksiyon Hatası '!$D$148*(1-'Elektronik- Fonksiyon Hatası '!$D$148)/P133)</f>
        <v>1.264552690354327E-2</v>
      </c>
      <c r="T133" s="48">
        <f>(R133-'Elektronik- Fonksiyon Hatası '!$D$148)/S133</f>
        <v>-0.45789027399568633</v>
      </c>
      <c r="U133" s="48">
        <f t="shared" si="53"/>
        <v>0</v>
      </c>
      <c r="V133" s="48">
        <f t="shared" si="54"/>
        <v>0</v>
      </c>
      <c r="W133" s="48">
        <f t="shared" si="47"/>
        <v>5</v>
      </c>
      <c r="X133" s="48">
        <f t="shared" si="48"/>
        <v>-5</v>
      </c>
      <c r="Y133" s="48">
        <f t="shared" si="55"/>
        <v>-0.33584493271484239</v>
      </c>
      <c r="Z133" s="48">
        <f>$B$5*SQRT(($B$4/(2-$B$4))*(1-(1-$B$4)^(2*123)))</f>
        <v>1</v>
      </c>
      <c r="AA133" s="48">
        <f t="shared" si="49"/>
        <v>-1</v>
      </c>
    </row>
    <row r="134" spans="1:27" x14ac:dyDescent="0.35">
      <c r="A134" s="53">
        <f>'Yazılım SW Hatası'!A125</f>
        <v>46237</v>
      </c>
      <c r="B134" s="48">
        <f>'Yazılım SW Hatası'!B125</f>
        <v>4</v>
      </c>
      <c r="C134" s="48">
        <f>'Yazılım SW Hatası'!C125</f>
        <v>0</v>
      </c>
      <c r="D134" s="48">
        <f t="shared" si="42"/>
        <v>0</v>
      </c>
      <c r="E134" s="48">
        <f>SQRT('Yazılım SW Hatası'!$D$148*(1-'Yazılım SW Hatası'!$D$148)/B134)</f>
        <v>3.5470353359490066E-2</v>
      </c>
      <c r="F134" s="48">
        <f>(D134-'Yazılım SW Hatası'!$D$148)/E134</f>
        <v>-0.1426027220980414</v>
      </c>
      <c r="G134" s="48">
        <f t="shared" si="50"/>
        <v>0</v>
      </c>
      <c r="H134" s="48">
        <f t="shared" si="51"/>
        <v>0</v>
      </c>
      <c r="I134" s="48">
        <f t="shared" si="43"/>
        <v>5</v>
      </c>
      <c r="J134" s="48">
        <f t="shared" si="44"/>
        <v>-5</v>
      </c>
      <c r="K134" s="48">
        <f t="shared" si="52"/>
        <v>-0.24116381971057821</v>
      </c>
      <c r="L134" s="48">
        <f>$B$5*SQRT(($B$4/(2-$B$4))*(1-(1-$B$4)^(2*124)))</f>
        <v>1</v>
      </c>
      <c r="M134" s="48">
        <f t="shared" si="45"/>
        <v>-1</v>
      </c>
      <c r="O134" s="53">
        <f>'Elektronik- Fonksiyon Hatası '!A125</f>
        <v>46237</v>
      </c>
      <c r="P134" s="48">
        <f>'Elektronik- Fonksiyon Hatası '!B125</f>
        <v>4</v>
      </c>
      <c r="Q134" s="48">
        <f>'Elektronik- Fonksiyon Hatası '!C125</f>
        <v>0</v>
      </c>
      <c r="R134" s="48">
        <f t="shared" si="46"/>
        <v>0</v>
      </c>
      <c r="S134" s="48">
        <f>SQRT('Elektronik- Fonksiyon Hatası '!$D$148*(1-'Elektronik- Fonksiyon Hatası '!$D$148)/P134)</f>
        <v>3.7936580710629809E-2</v>
      </c>
      <c r="T134" s="48">
        <f>(R134-'Elektronik- Fonksiyon Hatası '!$D$148)/S134</f>
        <v>-0.15263009133189545</v>
      </c>
      <c r="U134" s="48">
        <f t="shared" si="53"/>
        <v>0</v>
      </c>
      <c r="V134" s="48">
        <f t="shared" si="54"/>
        <v>0</v>
      </c>
      <c r="W134" s="48">
        <f t="shared" si="47"/>
        <v>5</v>
      </c>
      <c r="X134" s="48">
        <f t="shared" si="48"/>
        <v>-5</v>
      </c>
      <c r="Y134" s="48">
        <f t="shared" si="55"/>
        <v>-0.29920196443825298</v>
      </c>
      <c r="Z134" s="48">
        <f>$B$5*SQRT(($B$4/(2-$B$4))*(1-(1-$B$4)^(2*124)))</f>
        <v>1</v>
      </c>
      <c r="AA134" s="48">
        <f t="shared" si="49"/>
        <v>-1</v>
      </c>
    </row>
    <row r="135" spans="1:27" x14ac:dyDescent="0.35">
      <c r="A135" s="53">
        <f>'Yazılım SW Hatası'!A126</f>
        <v>46238</v>
      </c>
      <c r="B135" s="48">
        <f>'Yazılım SW Hatası'!B126</f>
        <v>8</v>
      </c>
      <c r="C135" s="48">
        <f>'Yazılım SW Hatası'!C126</f>
        <v>0</v>
      </c>
      <c r="D135" s="48">
        <f t="shared" si="42"/>
        <v>0</v>
      </c>
      <c r="E135" s="48">
        <f>SQRT('Yazılım SW Hatası'!$D$148*(1-'Yazılım SW Hatası'!$D$148)/B135)</f>
        <v>2.5081327391578461E-2</v>
      </c>
      <c r="F135" s="48">
        <f>(D135-'Yazılım SW Hatası'!$D$148)/E135</f>
        <v>-0.20167070362237163</v>
      </c>
      <c r="G135" s="48">
        <f t="shared" si="50"/>
        <v>0</v>
      </c>
      <c r="H135" s="48">
        <f t="shared" si="51"/>
        <v>0</v>
      </c>
      <c r="I135" s="48">
        <f t="shared" si="43"/>
        <v>5</v>
      </c>
      <c r="J135" s="48">
        <f t="shared" si="44"/>
        <v>-5</v>
      </c>
      <c r="K135" s="48">
        <f t="shared" si="52"/>
        <v>-0.23326519649293692</v>
      </c>
      <c r="L135" s="48">
        <f>$B$5*SQRT(($B$4/(2-$B$4))*(1-(1-$B$4)^(2*125)))</f>
        <v>1</v>
      </c>
      <c r="M135" s="48">
        <f t="shared" si="45"/>
        <v>-1</v>
      </c>
      <c r="O135" s="53">
        <f>'Elektronik- Fonksiyon Hatası '!A126</f>
        <v>46238</v>
      </c>
      <c r="P135" s="48">
        <f>'Elektronik- Fonksiyon Hatası '!B126</f>
        <v>8</v>
      </c>
      <c r="Q135" s="48">
        <f>'Elektronik- Fonksiyon Hatası '!C126</f>
        <v>0</v>
      </c>
      <c r="R135" s="48">
        <f t="shared" si="46"/>
        <v>0</v>
      </c>
      <c r="S135" s="48">
        <f>SQRT('Elektronik- Fonksiyon Hatası '!$D$148*(1-'Elektronik- Fonksiyon Hatası '!$D$148)/P135)</f>
        <v>2.6825213475517112E-2</v>
      </c>
      <c r="T135" s="48">
        <f>(R135-'Elektronik- Fonksiyon Hatası '!$D$148)/S135</f>
        <v>-0.21585154518781072</v>
      </c>
      <c r="U135" s="48">
        <f t="shared" si="53"/>
        <v>0</v>
      </c>
      <c r="V135" s="48">
        <f t="shared" si="54"/>
        <v>0</v>
      </c>
      <c r="W135" s="48">
        <f t="shared" si="47"/>
        <v>5</v>
      </c>
      <c r="X135" s="48">
        <f t="shared" si="48"/>
        <v>-5</v>
      </c>
      <c r="Y135" s="48">
        <f t="shared" si="55"/>
        <v>-0.28253188058816453</v>
      </c>
      <c r="Z135" s="48">
        <f>$B$5*SQRT(($B$4/(2-$B$4))*(1-(1-$B$4)^(2*125)))</f>
        <v>1</v>
      </c>
      <c r="AA135" s="48">
        <f t="shared" si="49"/>
        <v>-1</v>
      </c>
    </row>
    <row r="136" spans="1:27" x14ac:dyDescent="0.35">
      <c r="A136" s="53">
        <f>'Yazılım SW Hatası'!A127</f>
        <v>46239</v>
      </c>
      <c r="B136" s="48">
        <f>'Yazılım SW Hatası'!B127</f>
        <v>168</v>
      </c>
      <c r="C136" s="48">
        <f>'Yazılım SW Hatası'!C127</f>
        <v>3</v>
      </c>
      <c r="D136" s="48">
        <f t="shared" si="42"/>
        <v>1.7857142857142856E-2</v>
      </c>
      <c r="E136" s="48">
        <f>SQRT('Yazılım SW Hatası'!$D$148*(1-'Yazılım SW Hatası'!$D$148)/B136)</f>
        <v>5.4731943477084582E-3</v>
      </c>
      <c r="F136" s="48">
        <f>(D136-'Yazılım SW Hatası'!$D$148)/E136</f>
        <v>2.3384833611214439</v>
      </c>
      <c r="G136" s="48">
        <f t="shared" si="50"/>
        <v>1.8384833611214439</v>
      </c>
      <c r="H136" s="48">
        <f t="shared" si="51"/>
        <v>0</v>
      </c>
      <c r="I136" s="48">
        <f t="shared" si="43"/>
        <v>5</v>
      </c>
      <c r="J136" s="48">
        <f t="shared" si="44"/>
        <v>-5</v>
      </c>
      <c r="K136" s="48">
        <f t="shared" si="52"/>
        <v>0.28108451502993925</v>
      </c>
      <c r="L136" s="48">
        <f>$B$5*SQRT(($B$4/(2-$B$4))*(1-(1-$B$4)^(2*126)))</f>
        <v>1</v>
      </c>
      <c r="M136" s="48">
        <f t="shared" si="45"/>
        <v>-1</v>
      </c>
      <c r="O136" s="53">
        <f>'Elektronik- Fonksiyon Hatası '!A127</f>
        <v>46239</v>
      </c>
      <c r="P136" s="48">
        <f>'Elektronik- Fonksiyon Hatası '!B127</f>
        <v>168</v>
      </c>
      <c r="Q136" s="48">
        <f>'Elektronik- Fonksiyon Hatası '!C127</f>
        <v>0</v>
      </c>
      <c r="R136" s="48">
        <f t="shared" si="46"/>
        <v>0</v>
      </c>
      <c r="S136" s="48">
        <f>SQRT('Elektronik- Fonksiyon Hatası '!$D$148*(1-'Elektronik- Fonksiyon Hatası '!$D$148)/P136)</f>
        <v>5.8537414897574577E-3</v>
      </c>
      <c r="T136" s="48">
        <f>(R136-'Elektronik- Fonksiyon Hatası '!$D$148)/S136</f>
        <v>-0.98915604469632346</v>
      </c>
      <c r="U136" s="48">
        <f t="shared" si="53"/>
        <v>0</v>
      </c>
      <c r="V136" s="48">
        <f t="shared" si="54"/>
        <v>0.48915604469632346</v>
      </c>
      <c r="W136" s="48">
        <f t="shared" si="47"/>
        <v>5</v>
      </c>
      <c r="X136" s="48">
        <f t="shared" si="48"/>
        <v>-5</v>
      </c>
      <c r="Y136" s="48">
        <f t="shared" si="55"/>
        <v>-0.42385671340979636</v>
      </c>
      <c r="Z136" s="48">
        <f>$B$5*SQRT(($B$4/(2-$B$4))*(1-(1-$B$4)^(2*126)))</f>
        <v>1</v>
      </c>
      <c r="AA136" s="48">
        <f t="shared" si="49"/>
        <v>-1</v>
      </c>
    </row>
    <row r="137" spans="1:27" x14ac:dyDescent="0.35">
      <c r="A137" s="53">
        <f>'Yazılım SW Hatası'!A128</f>
        <v>46240</v>
      </c>
      <c r="B137" s="48">
        <f>'Yazılım SW Hatası'!B128</f>
        <v>73</v>
      </c>
      <c r="C137" s="48">
        <f>'Yazılım SW Hatası'!C128</f>
        <v>0</v>
      </c>
      <c r="D137" s="48">
        <f t="shared" si="42"/>
        <v>0</v>
      </c>
      <c r="E137" s="48">
        <f>SQRT('Yazılım SW Hatası'!$D$148*(1-'Yazılım SW Hatası'!$D$148)/B137)</f>
        <v>8.3029816972936821E-3</v>
      </c>
      <c r="F137" s="48">
        <f>(D137-'Yazılım SW Hatası'!$D$148)/E137</f>
        <v>-0.60919909584907039</v>
      </c>
      <c r="G137" s="48">
        <f t="shared" si="50"/>
        <v>0.72928426527237367</v>
      </c>
      <c r="H137" s="48">
        <f t="shared" si="51"/>
        <v>0.10919909584907039</v>
      </c>
      <c r="I137" s="48">
        <f t="shared" si="43"/>
        <v>5</v>
      </c>
      <c r="J137" s="48">
        <f t="shared" si="44"/>
        <v>-5</v>
      </c>
      <c r="K137" s="48">
        <f t="shared" si="52"/>
        <v>0.10302779285413734</v>
      </c>
      <c r="L137" s="48">
        <f>$B$5*SQRT(($B$4/(2-$B$4))*(1-(1-$B$4)^(2*127)))</f>
        <v>1</v>
      </c>
      <c r="M137" s="48">
        <f t="shared" si="45"/>
        <v>-1</v>
      </c>
      <c r="O137" s="53">
        <f>'Elektronik- Fonksiyon Hatası '!A128</f>
        <v>46240</v>
      </c>
      <c r="P137" s="48">
        <f>'Elektronik- Fonksiyon Hatası '!B128</f>
        <v>73</v>
      </c>
      <c r="Q137" s="48">
        <f>'Elektronik- Fonksiyon Hatası '!C128</f>
        <v>0</v>
      </c>
      <c r="R137" s="48">
        <f t="shared" si="46"/>
        <v>0</v>
      </c>
      <c r="S137" s="48">
        <f>SQRT('Elektronik- Fonksiyon Hatası '!$D$148*(1-'Elektronik- Fonksiyon Hatası '!$D$148)/P137)</f>
        <v>8.8802818541414211E-3</v>
      </c>
      <c r="T137" s="48">
        <f>(R137-'Elektronik- Fonksiyon Hatası '!$D$148)/S137</f>
        <v>-0.65203603599393589</v>
      </c>
      <c r="U137" s="48">
        <f t="shared" si="53"/>
        <v>0</v>
      </c>
      <c r="V137" s="48">
        <f t="shared" si="54"/>
        <v>0.64119208069025935</v>
      </c>
      <c r="W137" s="48">
        <f t="shared" si="47"/>
        <v>5</v>
      </c>
      <c r="X137" s="48">
        <f t="shared" si="48"/>
        <v>-5</v>
      </c>
      <c r="Y137" s="48">
        <f t="shared" si="55"/>
        <v>-0.4694925779266243</v>
      </c>
      <c r="Z137" s="48">
        <f>$B$5*SQRT(($B$4/(2-$B$4))*(1-(1-$B$4)^(2*127)))</f>
        <v>1</v>
      </c>
      <c r="AA137" s="48">
        <f t="shared" si="49"/>
        <v>-1</v>
      </c>
    </row>
    <row r="138" spans="1:27" x14ac:dyDescent="0.35">
      <c r="A138" s="53">
        <f>'Yazılım SW Hatası'!A129</f>
        <v>46241</v>
      </c>
      <c r="B138" s="48">
        <f>'Yazılım SW Hatası'!B129</f>
        <v>34</v>
      </c>
      <c r="C138" s="48">
        <f>'Yazılım SW Hatası'!C129</f>
        <v>0</v>
      </c>
      <c r="D138" s="48">
        <f t="shared" si="42"/>
        <v>0</v>
      </c>
      <c r="E138" s="48">
        <f>SQRT('Yazılım SW Hatası'!$D$148*(1-'Yazılım SW Hatası'!$D$148)/B138)</f>
        <v>1.2166230831314764E-2</v>
      </c>
      <c r="F138" s="48">
        <f>(D138-'Yazılım SW Hatası'!$D$148)/E138</f>
        <v>-0.41575480631383616</v>
      </c>
      <c r="G138" s="48">
        <f t="shared" si="50"/>
        <v>0</v>
      </c>
      <c r="H138" s="48">
        <f t="shared" si="51"/>
        <v>2.4953902162906549E-2</v>
      </c>
      <c r="I138" s="48">
        <f t="shared" si="43"/>
        <v>5</v>
      </c>
      <c r="J138" s="48">
        <f t="shared" si="44"/>
        <v>-5</v>
      </c>
      <c r="K138" s="48">
        <f t="shared" si="52"/>
        <v>-7.2872697945736142E-4</v>
      </c>
      <c r="L138" s="48">
        <f>$B$5*SQRT(($B$4/(2-$B$4))*(1-(1-$B$4)^(2*128)))</f>
        <v>1</v>
      </c>
      <c r="M138" s="48">
        <f t="shared" si="45"/>
        <v>-1</v>
      </c>
      <c r="O138" s="53">
        <f>'Elektronik- Fonksiyon Hatası '!A129</f>
        <v>46241</v>
      </c>
      <c r="P138" s="48">
        <f>'Elektronik- Fonksiyon Hatası '!B129</f>
        <v>34</v>
      </c>
      <c r="Q138" s="48">
        <f>'Elektronik- Fonksiyon Hatası '!C129</f>
        <v>0</v>
      </c>
      <c r="R138" s="48">
        <f t="shared" si="46"/>
        <v>0</v>
      </c>
      <c r="S138" s="48">
        <f>SQRT('Elektronik- Fonksiyon Hatası '!$D$148*(1-'Elektronik- Fonksiyon Hatası '!$D$148)/P138)</f>
        <v>1.301213983403521E-2</v>
      </c>
      <c r="T138" s="48">
        <f>(R138-'Elektronik- Fonksiyon Hatası '!$D$148)/S138</f>
        <v>-0.44498936013106355</v>
      </c>
      <c r="U138" s="48">
        <f t="shared" si="53"/>
        <v>0</v>
      </c>
      <c r="V138" s="48">
        <f t="shared" si="54"/>
        <v>0.58618144082132284</v>
      </c>
      <c r="W138" s="48">
        <f t="shared" si="47"/>
        <v>5</v>
      </c>
      <c r="X138" s="48">
        <f t="shared" si="48"/>
        <v>-5</v>
      </c>
      <c r="Y138" s="48">
        <f t="shared" si="55"/>
        <v>-0.46459193436751217</v>
      </c>
      <c r="Z138" s="48">
        <f>$B$5*SQRT(($B$4/(2-$B$4))*(1-(1-$B$4)^(2*128)))</f>
        <v>1</v>
      </c>
      <c r="AA138" s="48">
        <f t="shared" si="49"/>
        <v>-1</v>
      </c>
    </row>
    <row r="139" spans="1:27" x14ac:dyDescent="0.35">
      <c r="A139" s="53">
        <f>'Yazılım SW Hatası'!A130</f>
        <v>46242</v>
      </c>
      <c r="B139" s="48">
        <f>'Yazılım SW Hatası'!B130</f>
        <v>1</v>
      </c>
      <c r="C139" s="48">
        <f>'Yazılım SW Hatası'!C130</f>
        <v>0</v>
      </c>
      <c r="D139" s="48">
        <f t="shared" ref="D139:D156" si="56">C139/B139</f>
        <v>0</v>
      </c>
      <c r="E139" s="48">
        <f>SQRT('Yazılım SW Hatası'!$D$148*(1-'Yazılım SW Hatası'!$D$148)/B139)</f>
        <v>7.0940706718980132E-2</v>
      </c>
      <c r="F139" s="48">
        <f>(D139-'Yazılım SW Hatası'!$D$148)/E139</f>
        <v>-7.1301361049020698E-2</v>
      </c>
      <c r="G139" s="48">
        <f t="shared" si="50"/>
        <v>0</v>
      </c>
      <c r="H139" s="48">
        <f t="shared" si="51"/>
        <v>0</v>
      </c>
      <c r="I139" s="48">
        <f t="shared" ref="I139:I156" si="57">$B$3</f>
        <v>5</v>
      </c>
      <c r="J139" s="48">
        <f t="shared" ref="J139:J156" si="58">-$B$3</f>
        <v>-5</v>
      </c>
      <c r="K139" s="48">
        <f t="shared" si="52"/>
        <v>-1.484325379337003E-2</v>
      </c>
      <c r="L139" s="48">
        <f>$B$5*SQRT(($B$4/(2-$B$4))*(1-(1-$B$4)^(2*129)))</f>
        <v>1</v>
      </c>
      <c r="M139" s="48">
        <f t="shared" ref="M139:M156" si="59">-L139</f>
        <v>-1</v>
      </c>
      <c r="O139" s="53">
        <f>'Elektronik- Fonksiyon Hatası '!A130</f>
        <v>46242</v>
      </c>
      <c r="P139" s="48">
        <f>'Elektronik- Fonksiyon Hatası '!B130</f>
        <v>1</v>
      </c>
      <c r="Q139" s="48">
        <f>'Elektronik- Fonksiyon Hatası '!C130</f>
        <v>0</v>
      </c>
      <c r="R139" s="48">
        <f t="shared" ref="R139:R156" si="60">Q139/P139</f>
        <v>0</v>
      </c>
      <c r="S139" s="48">
        <f>SQRT('Elektronik- Fonksiyon Hatası '!$D$148*(1-'Elektronik- Fonksiyon Hatası '!$D$148)/P139)</f>
        <v>7.5873161421259619E-2</v>
      </c>
      <c r="T139" s="48">
        <f>(R139-'Elektronik- Fonksiyon Hatası '!$D$148)/S139</f>
        <v>-7.6315045665947726E-2</v>
      </c>
      <c r="U139" s="48">
        <f t="shared" si="53"/>
        <v>0</v>
      </c>
      <c r="V139" s="48">
        <f t="shared" si="54"/>
        <v>0.16249648648727055</v>
      </c>
      <c r="W139" s="48">
        <f t="shared" ref="W139:W156" si="61">$B$3</f>
        <v>5</v>
      </c>
      <c r="X139" s="48">
        <f t="shared" ref="X139:X156" si="62">-$B$3</f>
        <v>-5</v>
      </c>
      <c r="Y139" s="48">
        <f t="shared" si="55"/>
        <v>-0.38693655662719934</v>
      </c>
      <c r="Z139" s="48">
        <f>$B$5*SQRT(($B$4/(2-$B$4))*(1-(1-$B$4)^(2*129)))</f>
        <v>1</v>
      </c>
      <c r="AA139" s="48">
        <f t="shared" ref="AA139:AA156" si="63">-Z139</f>
        <v>-1</v>
      </c>
    </row>
    <row r="140" spans="1:27" x14ac:dyDescent="0.35">
      <c r="A140" s="53">
        <f>'Yazılım SW Hatası'!A131</f>
        <v>46244</v>
      </c>
      <c r="B140" s="48">
        <f>'Yazılım SW Hatası'!B131</f>
        <v>22</v>
      </c>
      <c r="C140" s="48">
        <f>'Yazılım SW Hatası'!C131</f>
        <v>0</v>
      </c>
      <c r="D140" s="48">
        <f t="shared" si="56"/>
        <v>0</v>
      </c>
      <c r="E140" s="48">
        <f>SQRT('Yazılım SW Hatası'!$D$148*(1-'Yazılım SW Hatası'!$D$148)/B140)</f>
        <v>1.512460949125983E-2</v>
      </c>
      <c r="F140" s="48">
        <f>(D140-'Yazılım SW Hatası'!$D$148)/E140</f>
        <v>-0.33443302756118709</v>
      </c>
      <c r="G140" s="48">
        <f t="shared" ref="G140:G156" si="64">MAX(0,F140-$B$2+G139)</f>
        <v>0</v>
      </c>
      <c r="H140" s="48">
        <f t="shared" ref="H140:H156" si="65">MAX(0,-F140-$B$2+H139)</f>
        <v>0</v>
      </c>
      <c r="I140" s="48">
        <f t="shared" si="57"/>
        <v>5</v>
      </c>
      <c r="J140" s="48">
        <f t="shared" si="58"/>
        <v>-5</v>
      </c>
      <c r="K140" s="48">
        <f t="shared" ref="K140:K156" si="66">$B$4*F140+(1-$B$4)*K139</f>
        <v>-7.8761208546933442E-2</v>
      </c>
      <c r="L140" s="48">
        <f>$B$5*SQRT(($B$4/(2-$B$4))*(1-(1-$B$4)^(2*130)))</f>
        <v>1</v>
      </c>
      <c r="M140" s="48">
        <f t="shared" si="59"/>
        <v>-1</v>
      </c>
      <c r="O140" s="53">
        <f>'Elektronik- Fonksiyon Hatası '!A131</f>
        <v>46244</v>
      </c>
      <c r="P140" s="48">
        <f>'Elektronik- Fonksiyon Hatası '!B131</f>
        <v>22</v>
      </c>
      <c r="Q140" s="48">
        <f>'Elektronik- Fonksiyon Hatası '!C131</f>
        <v>0</v>
      </c>
      <c r="R140" s="48">
        <f t="shared" si="60"/>
        <v>0</v>
      </c>
      <c r="S140" s="48">
        <f>SQRT('Elektronik- Fonksiyon Hatası '!$D$148*(1-'Elektronik- Fonksiyon Hatası '!$D$148)/P140)</f>
        <v>1.6176212367177416E-2</v>
      </c>
      <c r="T140" s="48">
        <f>(R140-'Elektronik- Fonksiyon Hatası '!$D$148)/S140</f>
        <v>-0.35794929290320593</v>
      </c>
      <c r="U140" s="48">
        <f t="shared" ref="U140:U156" si="67">MAX(0,T140-$B$2+U139)</f>
        <v>0</v>
      </c>
      <c r="V140" s="48">
        <f t="shared" ref="V140:V156" si="68">MAX(0,-T140-$B$2+V139)</f>
        <v>2.0445779390476482E-2</v>
      </c>
      <c r="W140" s="48">
        <f t="shared" si="61"/>
        <v>5</v>
      </c>
      <c r="X140" s="48">
        <f t="shared" si="62"/>
        <v>-5</v>
      </c>
      <c r="Y140" s="48">
        <f t="shared" ref="Y140:Y156" si="69">$B$4*T140+(1-$B$4)*Y139</f>
        <v>-0.38113910388240069</v>
      </c>
      <c r="Z140" s="48">
        <f>$B$5*SQRT(($B$4/(2-$B$4))*(1-(1-$B$4)^(2*130)))</f>
        <v>1</v>
      </c>
      <c r="AA140" s="48">
        <f t="shared" si="63"/>
        <v>-1</v>
      </c>
    </row>
    <row r="141" spans="1:27" x14ac:dyDescent="0.35">
      <c r="A141" s="53">
        <f>'Yazılım SW Hatası'!A132</f>
        <v>46245</v>
      </c>
      <c r="B141" s="48">
        <f>'Yazılım SW Hatası'!B132</f>
        <v>35</v>
      </c>
      <c r="C141" s="48">
        <f>'Yazılım SW Hatası'!C132</f>
        <v>0</v>
      </c>
      <c r="D141" s="48">
        <f t="shared" si="56"/>
        <v>0</v>
      </c>
      <c r="E141" s="48">
        <f>SQRT('Yazılım SW Hatası'!$D$148*(1-'Yazılım SW Hatası'!$D$148)/B141)</f>
        <v>1.1991168023398785E-2</v>
      </c>
      <c r="F141" s="48">
        <f>(D141-'Yazılım SW Hatası'!$D$148)/E141</f>
        <v>-0.42182454060959779</v>
      </c>
      <c r="G141" s="48">
        <f t="shared" si="64"/>
        <v>0</v>
      </c>
      <c r="H141" s="48">
        <f t="shared" si="65"/>
        <v>0</v>
      </c>
      <c r="I141" s="48">
        <f t="shared" si="57"/>
        <v>5</v>
      </c>
      <c r="J141" s="48">
        <f t="shared" si="58"/>
        <v>-5</v>
      </c>
      <c r="K141" s="48">
        <f t="shared" si="66"/>
        <v>-0.1473738749594663</v>
      </c>
      <c r="L141" s="48">
        <f>$B$5*SQRT(($B$4/(2-$B$4))*(1-(1-$B$4)^(2*131)))</f>
        <v>1</v>
      </c>
      <c r="M141" s="48">
        <f t="shared" si="59"/>
        <v>-1</v>
      </c>
      <c r="O141" s="53">
        <f>'Elektronik- Fonksiyon Hatası '!A132</f>
        <v>46245</v>
      </c>
      <c r="P141" s="48">
        <f>'Elektronik- Fonksiyon Hatası '!B132</f>
        <v>35</v>
      </c>
      <c r="Q141" s="48">
        <f>'Elektronik- Fonksiyon Hatası '!C132</f>
        <v>0</v>
      </c>
      <c r="R141" s="48">
        <f t="shared" si="60"/>
        <v>0</v>
      </c>
      <c r="S141" s="48">
        <f>SQRT('Elektronik- Fonksiyon Hatası '!$D$148*(1-'Elektronik- Fonksiyon Hatası '!$D$148)/P141)</f>
        <v>1.2824905038976223E-2</v>
      </c>
      <c r="T141" s="48">
        <f>(R141-'Elektronik- Fonksiyon Hatası '!$D$148)/S141</f>
        <v>-0.45148589881063728</v>
      </c>
      <c r="U141" s="48">
        <f t="shared" si="67"/>
        <v>0</v>
      </c>
      <c r="V141" s="48">
        <f t="shared" si="68"/>
        <v>0</v>
      </c>
      <c r="W141" s="48">
        <f t="shared" si="61"/>
        <v>5</v>
      </c>
      <c r="X141" s="48">
        <f t="shared" si="62"/>
        <v>-5</v>
      </c>
      <c r="Y141" s="48">
        <f t="shared" si="69"/>
        <v>-0.39520846286804806</v>
      </c>
      <c r="Z141" s="48">
        <f>$B$5*SQRT(($B$4/(2-$B$4))*(1-(1-$B$4)^(2*131)))</f>
        <v>1</v>
      </c>
      <c r="AA141" s="48">
        <f t="shared" si="63"/>
        <v>-1</v>
      </c>
    </row>
    <row r="142" spans="1:27" x14ac:dyDescent="0.35">
      <c r="A142" s="53">
        <f>'Yazılım SW Hatası'!A133</f>
        <v>46246</v>
      </c>
      <c r="B142" s="48">
        <f>'Yazılım SW Hatası'!B133</f>
        <v>175</v>
      </c>
      <c r="C142" s="48">
        <f>'Yazılım SW Hatası'!C133</f>
        <v>2</v>
      </c>
      <c r="D142" s="48">
        <f t="shared" si="56"/>
        <v>1.1428571428571429E-2</v>
      </c>
      <c r="E142" s="48">
        <f>SQRT('Yazılım SW Hatası'!$D$148*(1-'Yazılım SW Hatası'!$D$148)/B142)</f>
        <v>5.3626133659882939E-3</v>
      </c>
      <c r="F142" s="48">
        <f>(D142-'Yazılım SW Hatası'!$D$148)/E142</f>
        <v>1.1879287300725836</v>
      </c>
      <c r="G142" s="48">
        <f t="shared" si="64"/>
        <v>0.68792873007258359</v>
      </c>
      <c r="H142" s="48">
        <f t="shared" si="65"/>
        <v>0</v>
      </c>
      <c r="I142" s="48">
        <f t="shared" si="57"/>
        <v>5</v>
      </c>
      <c r="J142" s="48">
        <f t="shared" si="58"/>
        <v>-5</v>
      </c>
      <c r="K142" s="48">
        <f t="shared" si="66"/>
        <v>0.11968664604694369</v>
      </c>
      <c r="L142" s="48">
        <f>$B$5*SQRT(($B$4/(2-$B$4))*(1-(1-$B$4)^(2*132)))</f>
        <v>1</v>
      </c>
      <c r="M142" s="48">
        <f t="shared" si="59"/>
        <v>-1</v>
      </c>
      <c r="O142" s="53">
        <f>'Elektronik- Fonksiyon Hatası '!A133</f>
        <v>46246</v>
      </c>
      <c r="P142" s="48">
        <f>'Elektronik- Fonksiyon Hatası '!B133</f>
        <v>175</v>
      </c>
      <c r="Q142" s="48">
        <f>'Elektronik- Fonksiyon Hatası '!C133</f>
        <v>0</v>
      </c>
      <c r="R142" s="48">
        <f t="shared" si="60"/>
        <v>0</v>
      </c>
      <c r="S142" s="48">
        <f>SQRT('Elektronik- Fonksiyon Hatası '!$D$148*(1-'Elektronik- Fonksiyon Hatası '!$D$148)/P142)</f>
        <v>5.7354718944260842E-3</v>
      </c>
      <c r="T142" s="48">
        <f>(R142-'Elektronik- Fonksiyon Hatası '!$D$148)/S142</f>
        <v>-1.0095531606231765</v>
      </c>
      <c r="U142" s="48">
        <f t="shared" si="67"/>
        <v>0</v>
      </c>
      <c r="V142" s="48">
        <f t="shared" si="68"/>
        <v>0.50955316062317646</v>
      </c>
      <c r="W142" s="48">
        <f t="shared" si="61"/>
        <v>5</v>
      </c>
      <c r="X142" s="48">
        <f t="shared" si="62"/>
        <v>-5</v>
      </c>
      <c r="Y142" s="48">
        <f t="shared" si="69"/>
        <v>-0.51807740241907374</v>
      </c>
      <c r="Z142" s="48">
        <f>$B$5*SQRT(($B$4/(2-$B$4))*(1-(1-$B$4)^(2*132)))</f>
        <v>1</v>
      </c>
      <c r="AA142" s="48">
        <f t="shared" si="63"/>
        <v>-1</v>
      </c>
    </row>
    <row r="143" spans="1:27" x14ac:dyDescent="0.35">
      <c r="A143" s="53">
        <f>'Yazılım SW Hatası'!A134</f>
        <v>46247</v>
      </c>
      <c r="B143" s="48">
        <f>'Yazılım SW Hatası'!B134</f>
        <v>9</v>
      </c>
      <c r="C143" s="48">
        <f>'Yazılım SW Hatası'!C134</f>
        <v>0</v>
      </c>
      <c r="D143" s="48">
        <f t="shared" si="56"/>
        <v>0</v>
      </c>
      <c r="E143" s="48">
        <f>SQRT('Yazılım SW Hatası'!$D$148*(1-'Yazılım SW Hatası'!$D$148)/B143)</f>
        <v>2.3646902239660043E-2</v>
      </c>
      <c r="F143" s="48">
        <f>(D143-'Yazılım SW Hatası'!$D$148)/E143</f>
        <v>-0.21390408314706211</v>
      </c>
      <c r="G143" s="48">
        <f t="shared" si="64"/>
        <v>0</v>
      </c>
      <c r="H143" s="48">
        <f t="shared" si="65"/>
        <v>0</v>
      </c>
      <c r="I143" s="48">
        <f t="shared" si="57"/>
        <v>5</v>
      </c>
      <c r="J143" s="48">
        <f t="shared" si="58"/>
        <v>-5</v>
      </c>
      <c r="K143" s="48">
        <f t="shared" si="66"/>
        <v>5.2968500208142533E-2</v>
      </c>
      <c r="L143" s="48">
        <f>$B$5*SQRT(($B$4/(2-$B$4))*(1-(1-$B$4)^(2*133)))</f>
        <v>1</v>
      </c>
      <c r="M143" s="48">
        <f t="shared" si="59"/>
        <v>-1</v>
      </c>
      <c r="O143" s="53">
        <f>'Elektronik- Fonksiyon Hatası '!A134</f>
        <v>46247</v>
      </c>
      <c r="P143" s="48">
        <f>'Elektronik- Fonksiyon Hatası '!B134</f>
        <v>9</v>
      </c>
      <c r="Q143" s="48">
        <f>'Elektronik- Fonksiyon Hatası '!C134</f>
        <v>0</v>
      </c>
      <c r="R143" s="48">
        <f t="shared" si="60"/>
        <v>0</v>
      </c>
      <c r="S143" s="48">
        <f>SQRT('Elektronik- Fonksiyon Hatası '!$D$148*(1-'Elektronik- Fonksiyon Hatası '!$D$148)/P143)</f>
        <v>2.5291053807086541E-2</v>
      </c>
      <c r="T143" s="48">
        <f>(R143-'Elektronik- Fonksiyon Hatası '!$D$148)/S143</f>
        <v>-0.22894513699784316</v>
      </c>
      <c r="U143" s="48">
        <f t="shared" si="67"/>
        <v>0</v>
      </c>
      <c r="V143" s="48">
        <f t="shared" si="68"/>
        <v>0.23849829762101959</v>
      </c>
      <c r="W143" s="48">
        <f t="shared" si="61"/>
        <v>5</v>
      </c>
      <c r="X143" s="48">
        <f t="shared" si="62"/>
        <v>-5</v>
      </c>
      <c r="Y143" s="48">
        <f t="shared" si="69"/>
        <v>-0.46025094933482763</v>
      </c>
      <c r="Z143" s="48">
        <f>$B$5*SQRT(($B$4/(2-$B$4))*(1-(1-$B$4)^(2*133)))</f>
        <v>1</v>
      </c>
      <c r="AA143" s="48">
        <f t="shared" si="63"/>
        <v>-1</v>
      </c>
    </row>
    <row r="144" spans="1:27" x14ac:dyDescent="0.35">
      <c r="A144" s="53">
        <f>'Yazılım SW Hatası'!A135</f>
        <v>46248</v>
      </c>
      <c r="B144" s="48">
        <f>'Yazılım SW Hatası'!B135</f>
        <v>30</v>
      </c>
      <c r="C144" s="48">
        <f>'Yazılım SW Hatası'!C135</f>
        <v>0</v>
      </c>
      <c r="D144" s="48">
        <f t="shared" si="56"/>
        <v>0</v>
      </c>
      <c r="E144" s="48">
        <f>SQRT('Yazılım SW Hatası'!$D$148*(1-'Yazılım SW Hatası'!$D$148)/B144)</f>
        <v>1.2951941771781239E-2</v>
      </c>
      <c r="F144" s="48">
        <f>(D144-'Yazılım SW Hatası'!$D$148)/E144</f>
        <v>-0.39053363827368853</v>
      </c>
      <c r="G144" s="48">
        <f t="shared" si="64"/>
        <v>0</v>
      </c>
      <c r="H144" s="48">
        <f t="shared" si="65"/>
        <v>0</v>
      </c>
      <c r="I144" s="48">
        <f t="shared" si="57"/>
        <v>5</v>
      </c>
      <c r="J144" s="48">
        <f t="shared" si="58"/>
        <v>-5</v>
      </c>
      <c r="K144" s="48">
        <f t="shared" si="66"/>
        <v>-3.573192748822368E-2</v>
      </c>
      <c r="L144" s="48">
        <f>$B$5*SQRT(($B$4/(2-$B$4))*(1-(1-$B$4)^(2*134)))</f>
        <v>1</v>
      </c>
      <c r="M144" s="48">
        <f t="shared" si="59"/>
        <v>-1</v>
      </c>
      <c r="O144" s="53">
        <f>'Elektronik- Fonksiyon Hatası '!A135</f>
        <v>46248</v>
      </c>
      <c r="P144" s="48">
        <f>'Elektronik- Fonksiyon Hatası '!B135</f>
        <v>30</v>
      </c>
      <c r="Q144" s="48">
        <f>'Elektronik- Fonksiyon Hatası '!C135</f>
        <v>0</v>
      </c>
      <c r="R144" s="48">
        <f t="shared" si="60"/>
        <v>0</v>
      </c>
      <c r="S144" s="48">
        <f>SQRT('Elektronik- Fonksiyon Hatası '!$D$148*(1-'Elektronik- Fonksiyon Hatası '!$D$148)/P144)</f>
        <v>1.3852480673218209E-2</v>
      </c>
      <c r="T144" s="48">
        <f>(R144-'Elektronik- Fonksiyon Hatası '!$D$148)/S144</f>
        <v>-0.41799471988276427</v>
      </c>
      <c r="U144" s="48">
        <f t="shared" si="67"/>
        <v>0</v>
      </c>
      <c r="V144" s="48">
        <f t="shared" si="68"/>
        <v>0.15649301750378386</v>
      </c>
      <c r="W144" s="48">
        <f t="shared" si="61"/>
        <v>5</v>
      </c>
      <c r="X144" s="48">
        <f t="shared" si="62"/>
        <v>-5</v>
      </c>
      <c r="Y144" s="48">
        <f t="shared" si="69"/>
        <v>-0.451799703444415</v>
      </c>
      <c r="Z144" s="48">
        <f>$B$5*SQRT(($B$4/(2-$B$4))*(1-(1-$B$4)^(2*134)))</f>
        <v>1</v>
      </c>
      <c r="AA144" s="48">
        <f t="shared" si="63"/>
        <v>-1</v>
      </c>
    </row>
    <row r="145" spans="1:27" x14ac:dyDescent="0.35">
      <c r="A145" s="53">
        <f>'Yazılım SW Hatası'!A136</f>
        <v>46250</v>
      </c>
      <c r="B145" s="48">
        <f>'Yazılım SW Hatası'!B136</f>
        <v>2</v>
      </c>
      <c r="C145" s="48">
        <f>'Yazılım SW Hatası'!C136</f>
        <v>0</v>
      </c>
      <c r="D145" s="48">
        <f t="shared" si="56"/>
        <v>0</v>
      </c>
      <c r="E145" s="48">
        <f>SQRT('Yazılım SW Hatası'!$D$148*(1-'Yazılım SW Hatası'!$D$148)/B145)</f>
        <v>5.0162654783156922E-2</v>
      </c>
      <c r="F145" s="48">
        <f>(D145-'Yazılım SW Hatası'!$D$148)/E145</f>
        <v>-0.10083535181118582</v>
      </c>
      <c r="G145" s="48">
        <f t="shared" si="64"/>
        <v>0</v>
      </c>
      <c r="H145" s="48">
        <f t="shared" si="65"/>
        <v>0</v>
      </c>
      <c r="I145" s="48">
        <f t="shared" si="57"/>
        <v>5</v>
      </c>
      <c r="J145" s="48">
        <f t="shared" si="58"/>
        <v>-5</v>
      </c>
      <c r="K145" s="48">
        <f t="shared" si="66"/>
        <v>-4.875261235281611E-2</v>
      </c>
      <c r="L145" s="48">
        <f>$B$5*SQRT(($B$4/(2-$B$4))*(1-(1-$B$4)^(2*135)))</f>
        <v>1</v>
      </c>
      <c r="M145" s="48">
        <f t="shared" si="59"/>
        <v>-1</v>
      </c>
      <c r="O145" s="53">
        <f>'Elektronik- Fonksiyon Hatası '!A136</f>
        <v>46250</v>
      </c>
      <c r="P145" s="48">
        <f>'Elektronik- Fonksiyon Hatası '!B136</f>
        <v>2</v>
      </c>
      <c r="Q145" s="48">
        <f>'Elektronik- Fonksiyon Hatası '!C136</f>
        <v>0</v>
      </c>
      <c r="R145" s="48">
        <f t="shared" si="60"/>
        <v>0</v>
      </c>
      <c r="S145" s="48">
        <f>SQRT('Elektronik- Fonksiyon Hatası '!$D$148*(1-'Elektronik- Fonksiyon Hatası '!$D$148)/P145)</f>
        <v>5.3650426951034225E-2</v>
      </c>
      <c r="T145" s="48">
        <f>(R145-'Elektronik- Fonksiyon Hatası '!$D$148)/S145</f>
        <v>-0.10792577259390536</v>
      </c>
      <c r="U145" s="48">
        <f t="shared" si="67"/>
        <v>0</v>
      </c>
      <c r="V145" s="48">
        <f t="shared" si="68"/>
        <v>0</v>
      </c>
      <c r="W145" s="48">
        <f t="shared" si="61"/>
        <v>5</v>
      </c>
      <c r="X145" s="48">
        <f t="shared" si="62"/>
        <v>-5</v>
      </c>
      <c r="Y145" s="48">
        <f t="shared" si="69"/>
        <v>-0.38302491727431309</v>
      </c>
      <c r="Z145" s="48">
        <f>$B$5*SQRT(($B$4/(2-$B$4))*(1-(1-$B$4)^(2*135)))</f>
        <v>1</v>
      </c>
      <c r="AA145" s="48">
        <f t="shared" si="63"/>
        <v>-1</v>
      </c>
    </row>
    <row r="146" spans="1:27" x14ac:dyDescent="0.35">
      <c r="A146" s="53">
        <f>'Yazılım SW Hatası'!A137</f>
        <v>46251</v>
      </c>
      <c r="B146" s="48">
        <f>'Yazılım SW Hatası'!B137</f>
        <v>66</v>
      </c>
      <c r="C146" s="48">
        <f>'Yazılım SW Hatası'!C137</f>
        <v>0</v>
      </c>
      <c r="D146" s="48">
        <f t="shared" si="56"/>
        <v>0</v>
      </c>
      <c r="E146" s="48">
        <f>SQRT('Yazılım SW Hatası'!$D$148*(1-'Yazılım SW Hatası'!$D$148)/B146)</f>
        <v>8.7321973611668314E-3</v>
      </c>
      <c r="F146" s="48">
        <f>(D146-'Yazılım SW Hatası'!$D$148)/E146</f>
        <v>-0.57925499546505876</v>
      </c>
      <c r="G146" s="48">
        <f t="shared" si="64"/>
        <v>0</v>
      </c>
      <c r="H146" s="48">
        <f t="shared" si="65"/>
        <v>7.9254995465058764E-2</v>
      </c>
      <c r="I146" s="48">
        <f t="shared" si="57"/>
        <v>5</v>
      </c>
      <c r="J146" s="48">
        <f t="shared" si="58"/>
        <v>-5</v>
      </c>
      <c r="K146" s="48">
        <f t="shared" si="66"/>
        <v>-0.15485308897526465</v>
      </c>
      <c r="L146" s="48">
        <f>$B$5*SQRT(($B$4/(2-$B$4))*(1-(1-$B$4)^(2*136)))</f>
        <v>1</v>
      </c>
      <c r="M146" s="48">
        <f t="shared" si="59"/>
        <v>-1</v>
      </c>
      <c r="O146" s="53">
        <f>'Elektronik- Fonksiyon Hatası '!A137</f>
        <v>46251</v>
      </c>
      <c r="P146" s="48">
        <f>'Elektronik- Fonksiyon Hatası '!B137</f>
        <v>66</v>
      </c>
      <c r="Q146" s="48">
        <f>'Elektronik- Fonksiyon Hatası '!C137</f>
        <v>0</v>
      </c>
      <c r="R146" s="48">
        <f t="shared" si="60"/>
        <v>0</v>
      </c>
      <c r="S146" s="48">
        <f>SQRT('Elektronik- Fonksiyon Hatası '!$D$148*(1-'Elektronik- Fonksiyon Hatası '!$D$148)/P146)</f>
        <v>9.3393405646584361E-3</v>
      </c>
      <c r="T146" s="48">
        <f>(R146-'Elektronik- Fonksiyon Hatası '!$D$148)/S146</f>
        <v>-0.6199863618417063</v>
      </c>
      <c r="U146" s="48">
        <f t="shared" si="67"/>
        <v>0</v>
      </c>
      <c r="V146" s="48">
        <f t="shared" si="68"/>
        <v>0.1199863618417063</v>
      </c>
      <c r="W146" s="48">
        <f t="shared" si="61"/>
        <v>5</v>
      </c>
      <c r="X146" s="48">
        <f t="shared" si="62"/>
        <v>-5</v>
      </c>
      <c r="Y146" s="48">
        <f t="shared" si="69"/>
        <v>-0.43041720618779178</v>
      </c>
      <c r="Z146" s="48">
        <f>$B$5*SQRT(($B$4/(2-$B$4))*(1-(1-$B$4)^(2*136)))</f>
        <v>1</v>
      </c>
      <c r="AA146" s="48">
        <f t="shared" si="63"/>
        <v>-1</v>
      </c>
    </row>
    <row r="147" spans="1:27" x14ac:dyDescent="0.35">
      <c r="A147" s="53">
        <f>'Yazılım SW Hatası'!A138</f>
        <v>46252</v>
      </c>
      <c r="B147" s="48">
        <f>'Yazılım SW Hatası'!B138</f>
        <v>47</v>
      </c>
      <c r="C147" s="48">
        <f>'Yazılım SW Hatası'!C138</f>
        <v>0</v>
      </c>
      <c r="D147" s="48">
        <f t="shared" si="56"/>
        <v>0</v>
      </c>
      <c r="E147" s="48">
        <f>SQRT('Yazılım SW Hatası'!$D$148*(1-'Yazılım SW Hatası'!$D$148)/B147)</f>
        <v>1.0347765582418669E-2</v>
      </c>
      <c r="F147" s="48">
        <f>(D147-'Yazılım SW Hatası'!$D$148)/E147</f>
        <v>-0.48881750389057455</v>
      </c>
      <c r="G147" s="48">
        <f t="shared" si="64"/>
        <v>0</v>
      </c>
      <c r="H147" s="48">
        <f t="shared" si="65"/>
        <v>6.8072499355633309E-2</v>
      </c>
      <c r="I147" s="48">
        <f t="shared" si="57"/>
        <v>5</v>
      </c>
      <c r="J147" s="48">
        <f t="shared" si="58"/>
        <v>-5</v>
      </c>
      <c r="K147" s="48">
        <f t="shared" si="66"/>
        <v>-0.22164597195832664</v>
      </c>
      <c r="L147" s="48">
        <f>$B$5*SQRT(($B$4/(2-$B$4))*(1-(1-$B$4)^(2*137)))</f>
        <v>1</v>
      </c>
      <c r="M147" s="48">
        <f t="shared" si="59"/>
        <v>-1</v>
      </c>
      <c r="O147" s="53">
        <f>'Elektronik- Fonksiyon Hatası '!A138</f>
        <v>46252</v>
      </c>
      <c r="P147" s="48">
        <f>'Elektronik- Fonksiyon Hatası '!B138</f>
        <v>47</v>
      </c>
      <c r="Q147" s="48">
        <f>'Elektronik- Fonksiyon Hatası '!C138</f>
        <v>0</v>
      </c>
      <c r="R147" s="48">
        <f t="shared" si="60"/>
        <v>0</v>
      </c>
      <c r="S147" s="48">
        <f>SQRT('Elektronik- Fonksiyon Hatası '!$D$148*(1-'Elektronik- Fonksiyon Hatası '!$D$148)/P147)</f>
        <v>1.1067238045630416E-2</v>
      </c>
      <c r="T147" s="48">
        <f>(R147-'Elektronik- Fonksiyon Hatası '!$D$148)/S147</f>
        <v>-0.5231895938995702</v>
      </c>
      <c r="U147" s="48">
        <f t="shared" si="67"/>
        <v>0</v>
      </c>
      <c r="V147" s="48">
        <f t="shared" si="68"/>
        <v>0.14317595574127651</v>
      </c>
      <c r="W147" s="48">
        <f t="shared" si="61"/>
        <v>5</v>
      </c>
      <c r="X147" s="48">
        <f t="shared" si="62"/>
        <v>-5</v>
      </c>
      <c r="Y147" s="48">
        <f t="shared" si="69"/>
        <v>-0.44897168373014751</v>
      </c>
      <c r="Z147" s="48">
        <f>$B$5*SQRT(($B$4/(2-$B$4))*(1-(1-$B$4)^(2*137)))</f>
        <v>1</v>
      </c>
      <c r="AA147" s="48">
        <f t="shared" si="63"/>
        <v>-1</v>
      </c>
    </row>
    <row r="148" spans="1:27" x14ac:dyDescent="0.35">
      <c r="A148" s="53">
        <f>'Yazılım SW Hatası'!A139</f>
        <v>46253</v>
      </c>
      <c r="B148" s="48">
        <f>'Yazılım SW Hatası'!B139</f>
        <v>21</v>
      </c>
      <c r="C148" s="48">
        <f>'Yazılım SW Hatası'!C139</f>
        <v>0</v>
      </c>
      <c r="D148" s="48">
        <f t="shared" si="56"/>
        <v>0</v>
      </c>
      <c r="E148" s="48">
        <f>SQRT('Yazılım SW Hatası'!$D$148*(1-'Yazılım SW Hatası'!$D$148)/B148)</f>
        <v>1.5480531352066134E-2</v>
      </c>
      <c r="F148" s="48">
        <f>(D148-'Yazılım SW Hatası'!$D$148)/E148</f>
        <v>-0.32674388416051331</v>
      </c>
      <c r="G148" s="48">
        <f t="shared" si="64"/>
        <v>0</v>
      </c>
      <c r="H148" s="48">
        <f t="shared" si="65"/>
        <v>0</v>
      </c>
      <c r="I148" s="48">
        <f t="shared" si="57"/>
        <v>5</v>
      </c>
      <c r="J148" s="48">
        <f t="shared" si="58"/>
        <v>-5</v>
      </c>
      <c r="K148" s="48">
        <f t="shared" si="66"/>
        <v>-0.24266555439876397</v>
      </c>
      <c r="L148" s="48">
        <f>$B$5*SQRT(($B$4/(2-$B$4))*(1-(1-$B$4)^(2*138)))</f>
        <v>1</v>
      </c>
      <c r="M148" s="48">
        <f t="shared" si="59"/>
        <v>-1</v>
      </c>
      <c r="O148" s="53">
        <f>'Elektronik- Fonksiyon Hatası '!A139</f>
        <v>46253</v>
      </c>
      <c r="P148" s="48">
        <f>'Elektronik- Fonksiyon Hatası '!B139</f>
        <v>21</v>
      </c>
      <c r="Q148" s="48">
        <f>'Elektronik- Fonksiyon Hatası '!C139</f>
        <v>0</v>
      </c>
      <c r="R148" s="48">
        <f t="shared" si="60"/>
        <v>0</v>
      </c>
      <c r="S148" s="48">
        <f>SQRT('Elektronik- Fonksiyon Hatası '!$D$148*(1-'Elektronik- Fonksiyon Hatası '!$D$148)/P148)</f>
        <v>1.6556881210882165E-2</v>
      </c>
      <c r="T148" s="48">
        <f>(R148-'Elektronik- Fonksiyon Hatası '!$D$148)/S148</f>
        <v>-0.34971947342821702</v>
      </c>
      <c r="U148" s="48">
        <f t="shared" si="67"/>
        <v>0</v>
      </c>
      <c r="V148" s="48">
        <f t="shared" si="68"/>
        <v>0</v>
      </c>
      <c r="W148" s="48">
        <f t="shared" si="61"/>
        <v>5</v>
      </c>
      <c r="X148" s="48">
        <f t="shared" si="62"/>
        <v>-5</v>
      </c>
      <c r="Y148" s="48">
        <f t="shared" si="69"/>
        <v>-0.4291212416697614</v>
      </c>
      <c r="Z148" s="48">
        <f>$B$5*SQRT(($B$4/(2-$B$4))*(1-(1-$B$4)^(2*138)))</f>
        <v>1</v>
      </c>
      <c r="AA148" s="48">
        <f t="shared" si="63"/>
        <v>-1</v>
      </c>
    </row>
    <row r="149" spans="1:27" x14ac:dyDescent="0.35">
      <c r="A149" s="53">
        <f>'Yazılım SW Hatası'!A140</f>
        <v>46254</v>
      </c>
      <c r="B149" s="48">
        <f>'Yazılım SW Hatası'!B140</f>
        <v>25</v>
      </c>
      <c r="C149" s="48">
        <f>'Yazılım SW Hatası'!C140</f>
        <v>0</v>
      </c>
      <c r="D149" s="48">
        <f t="shared" si="56"/>
        <v>0</v>
      </c>
      <c r="E149" s="48">
        <f>SQRT('Yazılım SW Hatası'!$D$148*(1-'Yazılım SW Hatası'!$D$148)/B149)</f>
        <v>1.4188141343796026E-2</v>
      </c>
      <c r="F149" s="48">
        <f>(D149-'Yazılım SW Hatası'!$D$148)/E149</f>
        <v>-0.35650680524510353</v>
      </c>
      <c r="G149" s="48">
        <f t="shared" si="64"/>
        <v>0</v>
      </c>
      <c r="H149" s="48">
        <f t="shared" si="65"/>
        <v>0</v>
      </c>
      <c r="I149" s="48">
        <f t="shared" si="57"/>
        <v>5</v>
      </c>
      <c r="J149" s="48">
        <f t="shared" si="58"/>
        <v>-5</v>
      </c>
      <c r="K149" s="48">
        <f t="shared" si="66"/>
        <v>-0.26543380456803189</v>
      </c>
      <c r="L149" s="48">
        <f>$B$5*SQRT(($B$4/(2-$B$4))*(1-(1-$B$4)^(2*139)))</f>
        <v>1</v>
      </c>
      <c r="M149" s="48">
        <f t="shared" si="59"/>
        <v>-1</v>
      </c>
      <c r="O149" s="53">
        <f>'Elektronik- Fonksiyon Hatası '!A140</f>
        <v>46254</v>
      </c>
      <c r="P149" s="48">
        <f>'Elektronik- Fonksiyon Hatası '!B140</f>
        <v>25</v>
      </c>
      <c r="Q149" s="48">
        <f>'Elektronik- Fonksiyon Hatası '!C140</f>
        <v>0</v>
      </c>
      <c r="R149" s="48">
        <f t="shared" si="60"/>
        <v>0</v>
      </c>
      <c r="S149" s="48">
        <f>SQRT('Elektronik- Fonksiyon Hatası '!$D$148*(1-'Elektronik- Fonksiyon Hatası '!$D$148)/P149)</f>
        <v>1.5174632284251924E-2</v>
      </c>
      <c r="T149" s="48">
        <f>(R149-'Elektronik- Fonksiyon Hatası '!$D$148)/S149</f>
        <v>-0.38157522832973861</v>
      </c>
      <c r="U149" s="48">
        <f t="shared" si="67"/>
        <v>0</v>
      </c>
      <c r="V149" s="48">
        <f t="shared" si="68"/>
        <v>0</v>
      </c>
      <c r="W149" s="48">
        <f t="shared" si="61"/>
        <v>5</v>
      </c>
      <c r="X149" s="48">
        <f t="shared" si="62"/>
        <v>-5</v>
      </c>
      <c r="Y149" s="48">
        <f t="shared" si="69"/>
        <v>-0.41961203900175686</v>
      </c>
      <c r="Z149" s="48">
        <f>$B$5*SQRT(($B$4/(2-$B$4))*(1-(1-$B$4)^(2*139)))</f>
        <v>1</v>
      </c>
      <c r="AA149" s="48">
        <f t="shared" si="63"/>
        <v>-1</v>
      </c>
    </row>
    <row r="150" spans="1:27" x14ac:dyDescent="0.35">
      <c r="A150" s="53">
        <f>'Yazılım SW Hatası'!A141</f>
        <v>46255</v>
      </c>
      <c r="B150" s="48">
        <f>'Yazılım SW Hatası'!B141</f>
        <v>209</v>
      </c>
      <c r="C150" s="48">
        <f>'Yazılım SW Hatası'!C141</f>
        <v>3</v>
      </c>
      <c r="D150" s="48">
        <f t="shared" si="56"/>
        <v>1.4354066985645933E-2</v>
      </c>
      <c r="E150" s="48">
        <f>SQRT('Yazılım SW Hatası'!$D$148*(1-'Yazılım SW Hatası'!$D$148)/B150)</f>
        <v>4.9070712914399779E-3</v>
      </c>
      <c r="F150" s="48">
        <f>(D150-'Yazılım SW Hatası'!$D$148)/E150</f>
        <v>1.8943882186955887</v>
      </c>
      <c r="G150" s="48">
        <f t="shared" si="64"/>
        <v>1.3943882186955887</v>
      </c>
      <c r="H150" s="48">
        <f t="shared" si="65"/>
        <v>0</v>
      </c>
      <c r="I150" s="48">
        <f t="shared" si="57"/>
        <v>5</v>
      </c>
      <c r="J150" s="48">
        <f t="shared" si="58"/>
        <v>-5</v>
      </c>
      <c r="K150" s="48">
        <f t="shared" si="66"/>
        <v>0.16653060008469223</v>
      </c>
      <c r="L150" s="48">
        <f>$B$5*SQRT(($B$4/(2-$B$4))*(1-(1-$B$4)^(2*140)))</f>
        <v>1</v>
      </c>
      <c r="M150" s="48">
        <f t="shared" si="59"/>
        <v>-1</v>
      </c>
      <c r="O150" s="53">
        <f>'Elektronik- Fonksiyon Hatası '!A141</f>
        <v>46255</v>
      </c>
      <c r="P150" s="48">
        <f>'Elektronik- Fonksiyon Hatası '!B141</f>
        <v>209</v>
      </c>
      <c r="Q150" s="48">
        <f>'Elektronik- Fonksiyon Hatası '!C141</f>
        <v>0</v>
      </c>
      <c r="R150" s="48">
        <f t="shared" si="60"/>
        <v>0</v>
      </c>
      <c r="S150" s="48">
        <f>SQRT('Elektronik- Fonksiyon Hatası '!$D$148*(1-'Elektronik- Fonksiyon Hatası '!$D$148)/P150)</f>
        <v>5.2482563174330735E-3</v>
      </c>
      <c r="T150" s="48">
        <f>(R150-'Elektronik- Fonksiyon Hatası '!$D$148)/S150</f>
        <v>-1.1032738167626832</v>
      </c>
      <c r="U150" s="48">
        <f t="shared" si="67"/>
        <v>0</v>
      </c>
      <c r="V150" s="48">
        <f t="shared" si="68"/>
        <v>0.60327381676268321</v>
      </c>
      <c r="W150" s="48">
        <f t="shared" si="61"/>
        <v>5</v>
      </c>
      <c r="X150" s="48">
        <f t="shared" si="62"/>
        <v>-5</v>
      </c>
      <c r="Y150" s="48">
        <f t="shared" si="69"/>
        <v>-0.55634439455394213</v>
      </c>
      <c r="Z150" s="48">
        <f>$B$5*SQRT(($B$4/(2-$B$4))*(1-(1-$B$4)^(2*140)))</f>
        <v>1</v>
      </c>
      <c r="AA150" s="48">
        <f t="shared" si="63"/>
        <v>-1</v>
      </c>
    </row>
    <row r="151" spans="1:27" x14ac:dyDescent="0.35">
      <c r="A151" s="53">
        <f>'Yazılım SW Hatası'!A142</f>
        <v>46256</v>
      </c>
      <c r="B151" s="48">
        <f>'Yazılım SW Hatası'!B142</f>
        <v>23</v>
      </c>
      <c r="C151" s="48">
        <f>'Yazılım SW Hatası'!C142</f>
        <v>0</v>
      </c>
      <c r="D151" s="48">
        <f t="shared" si="56"/>
        <v>0</v>
      </c>
      <c r="E151" s="48">
        <f>SQRT('Yazılım SW Hatası'!$D$148*(1-'Yazılım SW Hatası'!$D$148)/B151)</f>
        <v>1.4792159894302929E-2</v>
      </c>
      <c r="F151" s="48">
        <f>(D151-'Yazılım SW Hatası'!$D$148)/E151</f>
        <v>-0.34194931497399517</v>
      </c>
      <c r="G151" s="48">
        <f t="shared" si="64"/>
        <v>0.55243890372159354</v>
      </c>
      <c r="H151" s="48">
        <f t="shared" si="65"/>
        <v>0</v>
      </c>
      <c r="I151" s="48">
        <f t="shared" si="57"/>
        <v>5</v>
      </c>
      <c r="J151" s="48">
        <f t="shared" si="58"/>
        <v>-5</v>
      </c>
      <c r="K151" s="48">
        <f t="shared" si="66"/>
        <v>6.4834617072954751E-2</v>
      </c>
      <c r="L151" s="48">
        <f>$B$5*SQRT(($B$4/(2-$B$4))*(1-(1-$B$4)^(2*141)))</f>
        <v>1</v>
      </c>
      <c r="M151" s="48">
        <f t="shared" si="59"/>
        <v>-1</v>
      </c>
      <c r="O151" s="53">
        <f>'Elektronik- Fonksiyon Hatası '!A142</f>
        <v>46256</v>
      </c>
      <c r="P151" s="48">
        <f>'Elektronik- Fonksiyon Hatası '!B142</f>
        <v>23</v>
      </c>
      <c r="Q151" s="48">
        <f>'Elektronik- Fonksiyon Hatası '!C142</f>
        <v>0</v>
      </c>
      <c r="R151" s="48">
        <f t="shared" si="60"/>
        <v>0</v>
      </c>
      <c r="S151" s="48">
        <f>SQRT('Elektronik- Fonksiyon Hatası '!$D$148*(1-'Elektronik- Fonksiyon Hatası '!$D$148)/P151)</f>
        <v>1.5820647796411801E-2</v>
      </c>
      <c r="T151" s="48">
        <f>(R151-'Elektronik- Fonksiyon Hatası '!$D$148)/S151</f>
        <v>-0.36599410170780178</v>
      </c>
      <c r="U151" s="48">
        <f t="shared" si="67"/>
        <v>0</v>
      </c>
      <c r="V151" s="48">
        <f t="shared" si="68"/>
        <v>0.46926791847048499</v>
      </c>
      <c r="W151" s="48">
        <f t="shared" si="61"/>
        <v>5</v>
      </c>
      <c r="X151" s="48">
        <f t="shared" si="62"/>
        <v>-5</v>
      </c>
      <c r="Y151" s="48">
        <f t="shared" si="69"/>
        <v>-0.51827433598471406</v>
      </c>
      <c r="Z151" s="48">
        <f>$B$5*SQRT(($B$4/(2-$B$4))*(1-(1-$B$4)^(2*141)))</f>
        <v>1</v>
      </c>
      <c r="AA151" s="48">
        <f t="shared" si="63"/>
        <v>-1</v>
      </c>
    </row>
    <row r="152" spans="1:27" x14ac:dyDescent="0.35">
      <c r="A152" s="53">
        <f>'Yazılım SW Hatası'!A143</f>
        <v>46258</v>
      </c>
      <c r="B152" s="48">
        <f>'Yazılım SW Hatası'!B143</f>
        <v>42</v>
      </c>
      <c r="C152" s="48">
        <f>'Yazılım SW Hatası'!C143</f>
        <v>0</v>
      </c>
      <c r="D152" s="48">
        <f t="shared" si="56"/>
        <v>0</v>
      </c>
      <c r="E152" s="48">
        <f>SQRT('Yazılım SW Hatası'!$D$148*(1-'Yazılım SW Hatası'!$D$148)/B152)</f>
        <v>1.0946388695416916E-2</v>
      </c>
      <c r="F152" s="48">
        <f>(D152-'Yazılım SW Hatası'!$D$148)/E152</f>
        <v>-0.46208563240226141</v>
      </c>
      <c r="G152" s="48">
        <f t="shared" si="64"/>
        <v>0</v>
      </c>
      <c r="H152" s="48">
        <f t="shared" si="65"/>
        <v>0</v>
      </c>
      <c r="I152" s="48">
        <f t="shared" si="57"/>
        <v>5</v>
      </c>
      <c r="J152" s="48">
        <f t="shared" si="58"/>
        <v>-5</v>
      </c>
      <c r="K152" s="48">
        <f t="shared" si="66"/>
        <v>-4.0549432822088491E-2</v>
      </c>
      <c r="L152" s="48">
        <f>$B$5*SQRT(($B$4/(2-$B$4))*(1-(1-$B$4)^(2*142)))</f>
        <v>1</v>
      </c>
      <c r="M152" s="48">
        <f t="shared" si="59"/>
        <v>-1</v>
      </c>
      <c r="O152" s="53">
        <f>'Elektronik- Fonksiyon Hatası '!A143</f>
        <v>46258</v>
      </c>
      <c r="P152" s="48">
        <f>'Elektronik- Fonksiyon Hatası '!B143</f>
        <v>42</v>
      </c>
      <c r="Q152" s="48">
        <f>'Elektronik- Fonksiyon Hatası '!C143</f>
        <v>0</v>
      </c>
      <c r="R152" s="48">
        <f t="shared" si="60"/>
        <v>0</v>
      </c>
      <c r="S152" s="48">
        <f>SQRT('Elektronik- Fonksiyon Hatası '!$D$148*(1-'Elektronik- Fonksiyon Hatası '!$D$148)/P152)</f>
        <v>1.1707482979514915E-2</v>
      </c>
      <c r="T152" s="48">
        <f>(R152-'Elektronik- Fonksiyon Hatası '!$D$148)/S152</f>
        <v>-0.49457802234816173</v>
      </c>
      <c r="U152" s="48">
        <f t="shared" si="67"/>
        <v>0</v>
      </c>
      <c r="V152" s="48">
        <f t="shared" si="68"/>
        <v>0.46384594081864672</v>
      </c>
      <c r="W152" s="48">
        <f t="shared" si="61"/>
        <v>5</v>
      </c>
      <c r="X152" s="48">
        <f t="shared" si="62"/>
        <v>-5</v>
      </c>
      <c r="Y152" s="48">
        <f t="shared" si="69"/>
        <v>-0.51353507325740366</v>
      </c>
      <c r="Z152" s="48">
        <f>$B$5*SQRT(($B$4/(2-$B$4))*(1-(1-$B$4)^(2*142)))</f>
        <v>1</v>
      </c>
      <c r="AA152" s="48">
        <f t="shared" si="63"/>
        <v>-1</v>
      </c>
    </row>
    <row r="153" spans="1:27" x14ac:dyDescent="0.35">
      <c r="A153" s="53">
        <f>'Yazılım SW Hatası'!A144</f>
        <v>46259</v>
      </c>
      <c r="B153" s="48">
        <f>'Yazılım SW Hatası'!B144</f>
        <v>17</v>
      </c>
      <c r="C153" s="48">
        <f>'Yazılım SW Hatası'!C144</f>
        <v>0</v>
      </c>
      <c r="D153" s="48">
        <f t="shared" si="56"/>
        <v>0</v>
      </c>
      <c r="E153" s="48">
        <f>SQRT('Yazılım SW Hatası'!$D$148*(1-'Yazılım SW Hatası'!$D$148)/B153)</f>
        <v>1.7205648644607031E-2</v>
      </c>
      <c r="F153" s="48">
        <f>(D153-'Yazılım SW Hatası'!$D$148)/E153</f>
        <v>-0.29398304285541321</v>
      </c>
      <c r="G153" s="48">
        <f t="shared" si="64"/>
        <v>0</v>
      </c>
      <c r="H153" s="48">
        <f t="shared" si="65"/>
        <v>0</v>
      </c>
      <c r="I153" s="48">
        <f t="shared" si="57"/>
        <v>5</v>
      </c>
      <c r="J153" s="48">
        <f t="shared" si="58"/>
        <v>-5</v>
      </c>
      <c r="K153" s="48">
        <f t="shared" si="66"/>
        <v>-9.1236154828753441E-2</v>
      </c>
      <c r="L153" s="48">
        <f>$B$5*SQRT(($B$4/(2-$B$4))*(1-(1-$B$4)^(2*143)))</f>
        <v>1</v>
      </c>
      <c r="M153" s="48">
        <f t="shared" si="59"/>
        <v>-1</v>
      </c>
      <c r="O153" s="53">
        <f>'Elektronik- Fonksiyon Hatası '!A144</f>
        <v>46259</v>
      </c>
      <c r="P153" s="48">
        <f>'Elektronik- Fonksiyon Hatası '!B144</f>
        <v>17</v>
      </c>
      <c r="Q153" s="48">
        <f>'Elektronik- Fonksiyon Hatası '!C144</f>
        <v>0</v>
      </c>
      <c r="R153" s="48">
        <f t="shared" si="60"/>
        <v>0</v>
      </c>
      <c r="S153" s="48">
        <f>SQRT('Elektronik- Fonksiyon Hatası '!$D$148*(1-'Elektronik- Fonksiyon Hatası '!$D$148)/P153)</f>
        <v>1.8401944628787789E-2</v>
      </c>
      <c r="T153" s="48">
        <f>(R153-'Elektronik- Fonksiyon Hatası '!$D$148)/S153</f>
        <v>-0.31465499410453768</v>
      </c>
      <c r="U153" s="48">
        <f t="shared" si="67"/>
        <v>0</v>
      </c>
      <c r="V153" s="48">
        <f t="shared" si="68"/>
        <v>0.2785009349231844</v>
      </c>
      <c r="W153" s="48">
        <f t="shared" si="61"/>
        <v>5</v>
      </c>
      <c r="X153" s="48">
        <f t="shared" si="62"/>
        <v>-5</v>
      </c>
      <c r="Y153" s="48">
        <f t="shared" si="69"/>
        <v>-0.4737590574268305</v>
      </c>
      <c r="Z153" s="48">
        <f>$B$5*SQRT(($B$4/(2-$B$4))*(1-(1-$B$4)^(2*143)))</f>
        <v>1</v>
      </c>
      <c r="AA153" s="48">
        <f t="shared" si="63"/>
        <v>-1</v>
      </c>
    </row>
    <row r="154" spans="1:27" x14ac:dyDescent="0.35">
      <c r="A154" s="53">
        <f>'Yazılım SW Hatası'!A145</f>
        <v>46260</v>
      </c>
      <c r="B154" s="48">
        <f>'Yazılım SW Hatası'!B145</f>
        <v>46</v>
      </c>
      <c r="C154" s="48">
        <f>'Yazılım SW Hatası'!C145</f>
        <v>0</v>
      </c>
      <c r="D154" s="48">
        <f t="shared" si="56"/>
        <v>0</v>
      </c>
      <c r="E154" s="48">
        <f>SQRT('Yazılım SW Hatası'!$D$148*(1-'Yazılım SW Hatası'!$D$148)/B154)</f>
        <v>1.0459636569657284E-2</v>
      </c>
      <c r="F154" s="48">
        <f>(D154-'Yazılım SW Hatası'!$D$148)/E154</f>
        <v>-0.48358935888041327</v>
      </c>
      <c r="G154" s="48">
        <f t="shared" si="64"/>
        <v>0</v>
      </c>
      <c r="H154" s="48">
        <f t="shared" si="65"/>
        <v>0</v>
      </c>
      <c r="I154" s="48">
        <f t="shared" si="57"/>
        <v>5</v>
      </c>
      <c r="J154" s="48">
        <f t="shared" si="58"/>
        <v>-5</v>
      </c>
      <c r="K154" s="48">
        <f t="shared" si="66"/>
        <v>-0.16970679563908542</v>
      </c>
      <c r="L154" s="48">
        <f>$B$5*SQRT(($B$4/(2-$B$4))*(1-(1-$B$4)^(2*144)))</f>
        <v>1</v>
      </c>
      <c r="M154" s="48">
        <f t="shared" si="59"/>
        <v>-1</v>
      </c>
      <c r="O154" s="53">
        <f>'Elektronik- Fonksiyon Hatası '!A145</f>
        <v>46260</v>
      </c>
      <c r="P154" s="48">
        <f>'Elektronik- Fonksiyon Hatası '!B145</f>
        <v>46</v>
      </c>
      <c r="Q154" s="48">
        <f>'Elektronik- Fonksiyon Hatası '!C145</f>
        <v>0</v>
      </c>
      <c r="R154" s="48">
        <f t="shared" si="60"/>
        <v>0</v>
      </c>
      <c r="S154" s="48">
        <f>SQRT('Elektronik- Fonksiyon Hatası '!$D$148*(1-'Elektronik- Fonksiyon Hatası '!$D$148)/P154)</f>
        <v>1.1186887339606794E-2</v>
      </c>
      <c r="T154" s="48">
        <f>(R154-'Elektronik- Fonksiyon Hatası '!$D$148)/S154</f>
        <v>-0.51759382238373131</v>
      </c>
      <c r="U154" s="48">
        <f t="shared" si="67"/>
        <v>0</v>
      </c>
      <c r="V154" s="48">
        <f t="shared" si="68"/>
        <v>0.2960947573069157</v>
      </c>
      <c r="W154" s="48">
        <f t="shared" si="61"/>
        <v>5</v>
      </c>
      <c r="X154" s="48">
        <f t="shared" si="62"/>
        <v>-5</v>
      </c>
      <c r="Y154" s="48">
        <f t="shared" si="69"/>
        <v>-0.48252601041821064</v>
      </c>
      <c r="Z154" s="48">
        <f>$B$5*SQRT(($B$4/(2-$B$4))*(1-(1-$B$4)^(2*144)))</f>
        <v>1</v>
      </c>
      <c r="AA154" s="48">
        <f t="shared" si="63"/>
        <v>-1</v>
      </c>
    </row>
    <row r="155" spans="1:27" x14ac:dyDescent="0.35">
      <c r="A155" s="53">
        <f>'Yazılım SW Hatası'!A146</f>
        <v>46261</v>
      </c>
      <c r="B155" s="48">
        <f>'Yazılım SW Hatası'!B146</f>
        <v>160</v>
      </c>
      <c r="C155" s="48">
        <f>'Yazılım SW Hatası'!C146</f>
        <v>2</v>
      </c>
      <c r="D155" s="48">
        <f t="shared" si="56"/>
        <v>1.2500000000000001E-2</v>
      </c>
      <c r="E155" s="48">
        <f>SQRT('Yazılım SW Hatası'!$D$148*(1-'Yazılım SW Hatası'!$D$148)/B155)</f>
        <v>5.6083553013496932E-3</v>
      </c>
      <c r="F155" s="48">
        <f>(D155-'Yazılım SW Hatası'!$D$148)/E155</f>
        <v>1.3269186164732425</v>
      </c>
      <c r="G155" s="48">
        <f t="shared" si="64"/>
        <v>0.8269186164732425</v>
      </c>
      <c r="H155" s="48">
        <f t="shared" si="65"/>
        <v>0</v>
      </c>
      <c r="I155" s="48">
        <f t="shared" si="57"/>
        <v>5</v>
      </c>
      <c r="J155" s="48">
        <f t="shared" si="58"/>
        <v>-5</v>
      </c>
      <c r="K155" s="48">
        <f t="shared" si="66"/>
        <v>0.12961828678338014</v>
      </c>
      <c r="L155" s="48">
        <f>$B$5*SQRT(($B$4/(2-$B$4))*(1-(1-$B$4)^(2*145)))</f>
        <v>1</v>
      </c>
      <c r="M155" s="48">
        <f t="shared" si="59"/>
        <v>-1</v>
      </c>
      <c r="O155" s="53">
        <f>'Elektronik- Fonksiyon Hatası '!A146</f>
        <v>46261</v>
      </c>
      <c r="P155" s="48">
        <f>'Elektronik- Fonksiyon Hatası '!B146</f>
        <v>160</v>
      </c>
      <c r="Q155" s="48">
        <f>'Elektronik- Fonksiyon Hatası '!C146</f>
        <v>0</v>
      </c>
      <c r="R155" s="48">
        <f t="shared" si="60"/>
        <v>0</v>
      </c>
      <c r="S155" s="48">
        <f>SQRT('Elektronik- Fonksiyon Hatası '!$D$148*(1-'Elektronik- Fonksiyon Hatası '!$D$148)/P155)</f>
        <v>5.998300084219965E-3</v>
      </c>
      <c r="T155" s="48">
        <f>(R155-'Elektronik- Fonksiyon Hatası '!$D$148)/S155</f>
        <v>-0.96531745617662479</v>
      </c>
      <c r="U155" s="48">
        <f t="shared" si="67"/>
        <v>0</v>
      </c>
      <c r="V155" s="48">
        <f t="shared" si="68"/>
        <v>0.76141221348354049</v>
      </c>
      <c r="W155" s="48">
        <f t="shared" si="61"/>
        <v>5</v>
      </c>
      <c r="X155" s="48">
        <f t="shared" si="62"/>
        <v>-5</v>
      </c>
      <c r="Y155" s="48">
        <f t="shared" si="69"/>
        <v>-0.57908429956989349</v>
      </c>
      <c r="Z155" s="48">
        <f>$B$5*SQRT(($B$4/(2-$B$4))*(1-(1-$B$4)^(2*145)))</f>
        <v>1</v>
      </c>
      <c r="AA155" s="48">
        <f t="shared" si="63"/>
        <v>-1</v>
      </c>
    </row>
    <row r="156" spans="1:27" x14ac:dyDescent="0.35">
      <c r="A156" s="53">
        <f>'Yazılım SW Hatası'!A147</f>
        <v>46262</v>
      </c>
      <c r="B156" s="48">
        <f>'Yazılım SW Hatası'!B147</f>
        <v>57</v>
      </c>
      <c r="C156" s="48">
        <f>'Yazılım SW Hatası'!C147</f>
        <v>0</v>
      </c>
      <c r="D156" s="48">
        <f t="shared" si="56"/>
        <v>0</v>
      </c>
      <c r="E156" s="48">
        <f>SQRT('Yazılım SW Hatası'!$D$148*(1-'Yazılım SW Hatası'!$D$148)/B156)</f>
        <v>9.3963261482350735E-3</v>
      </c>
      <c r="F156" s="48">
        <f>(D156-'Yazılım SW Hatası'!$D$148)/E156</f>
        <v>-0.53831347092956905</v>
      </c>
      <c r="G156" s="48">
        <f t="shared" si="64"/>
        <v>0</v>
      </c>
      <c r="H156" s="48">
        <f t="shared" si="65"/>
        <v>3.8313470929569049E-2</v>
      </c>
      <c r="I156" s="48">
        <f t="shared" si="57"/>
        <v>5</v>
      </c>
      <c r="J156" s="48">
        <f t="shared" si="58"/>
        <v>-5</v>
      </c>
      <c r="K156" s="48">
        <f t="shared" si="66"/>
        <v>-3.9680647592097024E-3</v>
      </c>
      <c r="L156" s="48">
        <f>$B$5*SQRT(($B$4/(2-$B$4))*(1-(1-$B$4)^(2*146)))</f>
        <v>1</v>
      </c>
      <c r="M156" s="48">
        <f t="shared" si="59"/>
        <v>-1</v>
      </c>
      <c r="O156" s="53">
        <f>'Elektronik- Fonksiyon Hatası '!A147</f>
        <v>46262</v>
      </c>
      <c r="P156" s="48">
        <f>'Elektronik- Fonksiyon Hatası '!B147</f>
        <v>57</v>
      </c>
      <c r="Q156" s="48">
        <f>'Elektronik- Fonksiyon Hatası '!C147</f>
        <v>0</v>
      </c>
      <c r="R156" s="48">
        <f t="shared" si="60"/>
        <v>0</v>
      </c>
      <c r="S156" s="48">
        <f>SQRT('Elektronik- Fonksiyon Hatası '!$D$148*(1-'Elektronik- Fonksiyon Hatası '!$D$148)/P156)</f>
        <v>1.0049645733527755E-2</v>
      </c>
      <c r="T156" s="48">
        <f>(R156-'Elektronik- Fonksiyon Hatası '!$D$148)/S156</f>
        <v>-0.57616595969803186</v>
      </c>
      <c r="U156" s="48">
        <f t="shared" si="67"/>
        <v>0</v>
      </c>
      <c r="V156" s="48">
        <f t="shared" si="68"/>
        <v>0.83757817318157235</v>
      </c>
      <c r="W156" s="48">
        <f t="shared" si="61"/>
        <v>5</v>
      </c>
      <c r="X156" s="48">
        <f t="shared" si="62"/>
        <v>-5</v>
      </c>
      <c r="Y156" s="48">
        <f t="shared" si="69"/>
        <v>-0.57850063159552123</v>
      </c>
      <c r="Z156" s="48">
        <f>$B$5*SQRT(($B$4/(2-$B$4))*(1-(1-$B$4)^(2*146)))</f>
        <v>1</v>
      </c>
      <c r="AA156" s="48">
        <f t="shared" si="63"/>
        <v>-1</v>
      </c>
    </row>
  </sheetData>
  <mergeCells count="1">
    <mergeCell ref="A7:M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Mekanik Montaj</vt:lpstr>
      <vt:lpstr>Mekanik Dyson Hatası</vt:lpstr>
      <vt:lpstr>Kozmetik Hata</vt:lpstr>
      <vt:lpstr>Dizgi Lehim Hatası</vt:lpstr>
      <vt:lpstr>Yazılım SW Hatası</vt:lpstr>
      <vt:lpstr>Elektronik- Fonksiyon Hatası </vt:lpstr>
      <vt:lpstr>Markalama etiiket hatası</vt:lpstr>
      <vt:lpstr>ADC Hatası</vt:lpstr>
      <vt:lpstr>Kalıp Baskı</vt:lpstr>
      <vt:lpstr>Sayfa1</vt:lpstr>
      <vt:lpstr>CUSUM-EWMA Analizi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2015-06-05T18:19:34Z</dcterms:created>
  <dcterms:modified xsi:type="dcterms:W3CDTF">2026-10-15T14:06:31Z</dcterms:modified>
</cp:coreProperties>
</file>